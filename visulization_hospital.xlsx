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SUBJECTS\Data_Analyst\datanaalystprojects\"/>
    </mc:Choice>
  </mc:AlternateContent>
  <xr:revisionPtr revIDLastSave="0" documentId="13_ncr:1_{3ABB6628-7B45-47D6-9CED-5864375B2407}" xr6:coauthVersionLast="47" xr6:coauthVersionMax="47" xr10:uidLastSave="{00000000-0000-0000-0000-000000000000}"/>
  <bookViews>
    <workbookView xWindow="768" yWindow="768" windowWidth="13068" windowHeight="12108" firstSheet="1" activeTab="1" xr2:uid="{0C30A0D6-0569-4AD4-BCA4-94840D4EE5D1}"/>
  </bookViews>
  <sheets>
    <sheet name="pivotreport" sheetId="1" r:id="rId1"/>
    <sheet name="dashboard" sheetId="3" r:id="rId2"/>
    <sheet name="dailayvisit" sheetId="7" r:id="rId3"/>
    <sheet name="averagewaittime" sheetId="10" r:id="rId4"/>
    <sheet name="satisfactionrate" sheetId="11"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0f83a28-27b1-4a16-b54c-54dc20c3dbdf" name="Hospital Emergency Room Data" connection="Query - Hospital Emergency Room Data"/>
          <x15:modelTable id="calendar_table_145e393d-ee38-49bc-83cb-e6a9ac3f2d0d" name="calendar_table" connection="Query - calendar_table"/>
        </x15:modelTables>
        <x15:modelRelationships>
          <x15:modelRelationship fromTable="Hospital Emergency Room Data" fromColumn="Patient Admission Date.1" toTable="calendar_table" toColumn="Date"/>
        </x15:modelRelationships>
        <x15:extLst>
          <ext xmlns:x16="http://schemas.microsoft.com/office/spreadsheetml/2014/11/main" uri="{9835A34E-60A6-4A7C-AAB8-D5F71C897F49}">
            <x16:modelTimeGroupings>
              <x16:modelTimeGrouping tableName="Hospital Emergency Room Data" columnName="Patient Admission Date.1" columnId="Patient Admission Date1">
                <x16:calculatedTimeColumn columnName="Patient Admission Date.1 (Year)" columnId="Patient Admission Date 1 (Year)" contentType="years" isSelected="1"/>
                <x16:calculatedTimeColumn columnName="Patient Admission Date.1 (Quarter)" columnId="Patient Admission Date 1 (Quarter)" contentType="quarters" isSelected="1"/>
                <x16:calculatedTimeColumn columnName="Patient Admission Date.1 (Month Index)" columnId="Patient Admission Date 1 (Month Index)" contentType="monthsindex" isSelected="1"/>
                <x16:calculatedTimeColumn columnName="Patient Admission Date.1 (Month)" columnId="Patient Admission Date 1 (Month)" contentType="months" isSelected="1"/>
              </x16:modelTimeGrouping>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9" i="1" l="1"/>
  <c r="L30" i="1"/>
  <c r="M30" i="1"/>
  <c r="K30" i="1"/>
  <c r="L29" i="1"/>
  <c r="M29" i="1"/>
  <c r="A7" i="1"/>
  <c r="A24" i="1"/>
  <c r="C5" i="1"/>
  <c r="S2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D8B300-D1B6-4051-8F67-1BE8BD6BCB1E}" name="Query - calendar_table" description="Connection to the 'calendar_table' query in the workbook." type="100" refreshedVersion="8" minRefreshableVersion="5">
    <extLst>
      <ext xmlns:x15="http://schemas.microsoft.com/office/spreadsheetml/2010/11/main" uri="{DE250136-89BD-433C-8126-D09CA5730AF9}">
        <x15:connection id="0c0dead8-1313-4ed2-b389-4b007de803f2"/>
      </ext>
    </extLst>
  </connection>
  <connection id="2" xr16:uid="{09150C00-7BFF-40CB-857E-C57F7959564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8c775ae-2dec-496a-8102-f271b285b2e7"/>
      </ext>
    </extLst>
  </connection>
  <connection id="3" xr16:uid="{581B710B-66D3-4FB5-8478-A04DC40413E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<sst xmlns="http://schemas.openxmlformats.org/spreadsheetml/2006/main" count="161" uniqueCount="75">
  <si>
    <t>Distinct Count of Patient Id</t>
  </si>
  <si>
    <t>No. of Patient</t>
  </si>
  <si>
    <t>Average of Patient Waittime</t>
  </si>
  <si>
    <t>Male</t>
  </si>
  <si>
    <t>None</t>
  </si>
  <si>
    <t>Admitted</t>
  </si>
  <si>
    <t>60-69</t>
  </si>
  <si>
    <t>On Time</t>
  </si>
  <si>
    <t>10-19</t>
  </si>
  <si>
    <t>Delay</t>
  </si>
  <si>
    <t>70-79</t>
  </si>
  <si>
    <t>40-49</t>
  </si>
  <si>
    <t>50-59</t>
  </si>
  <si>
    <t>0-09</t>
  </si>
  <si>
    <t>20-29</t>
  </si>
  <si>
    <t>30-39</t>
  </si>
  <si>
    <t>Female</t>
  </si>
  <si>
    <t>Not Admitted</t>
  </si>
  <si>
    <t>Average of Patient Satisfaction Score</t>
  </si>
  <si>
    <t>Row Labels</t>
  </si>
  <si>
    <t>Grand Total</t>
  </si>
  <si>
    <t>General Practice</t>
  </si>
  <si>
    <t>Orthopedics</t>
  </si>
  <si>
    <t>Physiotherapy</t>
  </si>
  <si>
    <t>Cardiology</t>
  </si>
  <si>
    <t>Neurology</t>
  </si>
  <si>
    <t>Gastroenterology</t>
  </si>
  <si>
    <t>Renal</t>
  </si>
  <si>
    <t>%of Total</t>
  </si>
  <si>
    <t>Status in %</t>
  </si>
  <si>
    <t>Daily trends mo. Of patient</t>
  </si>
  <si>
    <t>Average wait time</t>
  </si>
  <si>
    <t xml:space="preserve">No. of patients </t>
  </si>
  <si>
    <t xml:space="preserve"> Use an area chart to track daily AVERAGE WAIT TIME</t>
  </si>
  <si>
    <t>Count of Patient Admission Flag</t>
  </si>
  <si>
    <t>Count of Patient Admission Flag2</t>
  </si>
  <si>
    <t>Admission status</t>
  </si>
  <si>
    <t>%status</t>
  </si>
  <si>
    <t xml:space="preserve"> Patient</t>
  </si>
  <si>
    <t>Count of Age Group</t>
  </si>
  <si>
    <t>Count of patient attend</t>
  </si>
  <si>
    <t>Count of Patient Gender</t>
  </si>
  <si>
    <t>Count of Department Referral</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</si>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</sst>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7" x14ac:knownFonts="1">
    <font>
      <sz val="11"/>
      <color theme="1"/>
      <name val="Calibri"/>
      <family val="2"/>
      <scheme val="minor"/>
    </font>
    <font>
      <b/>
      <sz val="11"/>
      <color theme="1"/>
      <name val="Calibri"/>
      <family val="2"/>
      <scheme val="minor"/>
    </font>
    <font>
      <b/>
      <sz val="11"/>
      <color theme="1" tint="4.9989318521683403E-2"/>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tint="4.9989318521683403E-2"/>
      <name val="Calibri"/>
      <family val="2"/>
      <scheme val="minor"/>
    </font>
  </fonts>
  <fills count="6">
    <fill>
      <patternFill patternType="none"/>
    </fill>
    <fill>
      <patternFill patternType="gray125"/>
    </fill>
    <fill>
      <patternFill patternType="solid">
        <fgColor theme="1" tint="4.9989318521683403E-2"/>
        <bgColor indexed="64"/>
      </patternFill>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theme="4" tint="0.59999389629810485"/>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0" fontId="0" fillId="2" borderId="0" xfId="0" applyFill="1"/>
    <xf numFmtId="0" fontId="0" fillId="0" borderId="0" xfId="0" pivotButton="1"/>
    <xf numFmtId="0" fontId="0" fillId="0" borderId="0" xfId="0" applyAlignment="1">
      <alignment horizontal="left"/>
    </xf>
    <xf numFmtId="0" fontId="1" fillId="3" borderId="1" xfId="0" applyFont="1" applyFill="1" applyBorder="1"/>
    <xf numFmtId="10" fontId="0" fillId="0" borderId="0" xfId="0" applyNumberFormat="1"/>
    <xf numFmtId="0" fontId="0" fillId="4" borderId="0" xfId="0" applyFill="1"/>
    <xf numFmtId="2" fontId="0" fillId="0" borderId="0" xfId="0" applyNumberFormat="1"/>
    <xf numFmtId="1" fontId="0" fillId="0" borderId="0" xfId="0" applyNumberFormat="1"/>
    <xf numFmtId="0" fontId="2" fillId="5" borderId="0" xfId="0" applyFont="1" applyFill="1"/>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2" fontId="0" fillId="0" borderId="0" xfId="0" applyNumberFormat="1" applyAlignment="1">
      <alignment horizontal="left"/>
    </xf>
    <xf numFmtId="164" fontId="0" fillId="0" borderId="0" xfId="0" applyNumberFormat="1" applyAlignment="1">
      <alignment horizontal="left"/>
    </xf>
    <xf numFmtId="0" fontId="6" fillId="5" borderId="0" xfId="0" applyFont="1" applyFill="1"/>
  </cellXfs>
  <cellStyles count="1">
    <cellStyle name="Normal" xfId="0" builtinId="0"/>
  </cellStyles>
  <dxfs count="13">
    <dxf>
      <numFmt numFmtId="14"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6"/>
      </font>
    </dxf>
  </dxfs>
  <tableStyles count="2" defaultTableStyle="TableStyleMedium2" defaultPivotStyle="PivotStyleLight16">
    <tableStyle name="Slicer Style 1" pivot="0" table="0" count="1" xr9:uid="{4CAAECCD-AB58-4E3E-A249-CBDBB94546AC}">
      <tableStyleElement type="wholeTable" dxfId="12"/>
    </tableStyle>
    <tableStyle name="Slicer Style 2" pivot="0" table="0" count="0" xr9:uid="{22C33E6D-842B-4E15-B729-E424BDF78576}"/>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5.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[hospilat_project.xlsx]pivotreport!PivotTable4</c:name>
    <c:fmtId val="17"/>
  </c:pivotSource>
  <c:chart>
    <c:autoTitleDeleted val="1"/>
    <c:pivotFmts>
      <c:pivotFmt>
        <c:idx val="0"/>
        <c:spPr>
          <a:solidFill>
            <a:schemeClr val="accent1"/>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7012987012986"/>
          <c:y val="5.63599688927773E-2"/>
          <c:w val="0.82683982683982682"/>
          <c:h val="0.94364003110722272"/>
        </c:manualLayout>
      </c:layout>
      <c:barChart>
        <c:barDir val="bar"/>
        <c:grouping val="clustered"/>
        <c:varyColors val="0"/>
        <c:ser>
          <c:idx val="0"/>
          <c:order val="0"/>
          <c:tx>
            <c:strRef>
              <c:f>pivotreport!$D$8</c:f>
              <c:strCache>
                <c:ptCount val="1"/>
                <c:pt idx="0">
                  <c:v>Total</c:v>
                </c:pt>
              </c:strCache>
            </c:strRef>
          </c:tx>
          <c:spPr>
            <a:solidFill>
              <a:schemeClr val="accent1"/>
            </a:solidFill>
            <a:ln>
              <a:solidFill>
                <a:schemeClr val="accent1">
                  <a:lumMod val="75000"/>
                </a:schemeClr>
              </a:solidFill>
            </a:ln>
            <a:effectLst/>
          </c:spPr>
          <c:invertIfNegative val="0"/>
          <c:cat>
            <c:strRef>
              <c:f>pivotreport!$C$9:$C$11</c:f>
              <c:strCache>
                <c:ptCount val="2"/>
                <c:pt idx="0">
                  <c:v>Admitted</c:v>
                </c:pt>
                <c:pt idx="1">
                  <c:v>Not Admitted</c:v>
                </c:pt>
              </c:strCache>
            </c:strRef>
          </c:cat>
          <c:val>
            <c:numRef>
              <c:f>pivotreport!$D$9:$D$11</c:f>
              <c:numCache>
                <c:formatCode>0.00%</c:formatCode>
                <c:ptCount val="2"/>
                <c:pt idx="0">
                  <c:v>0.54508196721311475</c:v>
                </c:pt>
                <c:pt idx="1">
                  <c:v>0.45491803278688525</c:v>
                </c:pt>
              </c:numCache>
            </c:numRef>
          </c:val>
          <c:extLst>
            <c:ext xmlns:c16="http://schemas.microsoft.com/office/drawing/2014/chart" uri="{C3380CC4-5D6E-409C-BE32-E72D297353CC}">
              <c16:uniqueId val="{00000000-08E8-4CA8-8B6C-00883563A036}"/>
            </c:ext>
          </c:extLst>
        </c:ser>
        <c:dLbls>
          <c:showLegendKey val="0"/>
          <c:showVal val="0"/>
          <c:showCatName val="0"/>
          <c:showSerName val="0"/>
          <c:showPercent val="0"/>
          <c:showBubbleSize val="0"/>
        </c:dLbls>
        <c:gapWidth val="182"/>
        <c:axId val="2050741776"/>
        <c:axId val="2050743696"/>
      </c:barChart>
      <c:catAx>
        <c:axId val="2050741776"/>
        <c:scaling>
          <c:orientation val="minMax"/>
        </c:scaling>
        <c:delete val="1"/>
        <c:axPos val="l"/>
        <c:numFmt formatCode="General" sourceLinked="1"/>
        <c:majorTickMark val="none"/>
        <c:minorTickMark val="none"/>
        <c:tickLblPos val="nextTo"/>
        <c:crossAx val="2050743696"/>
        <c:crosses val="autoZero"/>
        <c:auto val="1"/>
        <c:lblAlgn val="ctr"/>
        <c:lblOffset val="100"/>
        <c:noMultiLvlLbl val="0"/>
      </c:catAx>
      <c:valAx>
        <c:axId val="2050743696"/>
        <c:scaling>
          <c:orientation val="minMax"/>
        </c:scaling>
        <c:delete val="1"/>
        <c:axPos val="b"/>
        <c:numFmt formatCode="0.00%" sourceLinked="1"/>
        <c:majorTickMark val="none"/>
        <c:minorTickMark val="none"/>
        <c:tickLblPos val="nextTo"/>
        <c:crossAx val="205074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[hospilat_project.xlsx]pivotreport!PivotTable9</c:name>
    <c:fmtId val="0"/>
  </c:pivotSource>
  <c:chart>
    <c:autoTitleDeleted val="0"/>
    <c:pivotFmts>
      <c:pivotFmt>
        <c:idx val="0"/>
        <c:spPr>
          <a:solidFill>
            <a:schemeClr val="accent1"/>
          </a:solidFill>
          <a:ln w="22225">
            <a:solidFill>
              <a:schemeClr val="lt1">
                <a:shade val="50000"/>
              </a:schemeClr>
            </a:solidFill>
          </a:ln>
          <a:effectLst/>
        </c:spPr>
        <c:marker>
          <c:symbol val="none"/>
        </c:marker>
        <c:dLbl>
          <c:idx val="0"/>
          <c:spPr>
            <a:noFill/>
            <a:ln>
              <a:noFill/>
            </a:ln>
            <a:effectLst/>
          </c:spPr>
          <c:txPr>
            <a:bodyPr rot="0" spcFirstLastPara="1" vertOverflow="ellipsis" vert="horz" wrap="none" lIns="7200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2225" cmpd="sng">
            <a:solidFill>
              <a:schemeClr val="lt1">
                <a:shade val="50000"/>
              </a:schemeClr>
            </a:solidFill>
          </a:ln>
          <a:effectLst/>
        </c:spPr>
        <c:dLbl>
          <c:idx val="0"/>
          <c:tx>
            <c:rich>
              <a:bodyPr rot="0" spcFirstLastPara="1" vertOverflow="ellipsis" vert="horz" wrap="none" lIns="7200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772A4A-5D56-470C-BEB4-CC644468230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w="22225">
            <a:solidFill>
              <a:schemeClr val="lt1">
                <a:shade val="50000"/>
              </a:schemeClr>
            </a:solidFill>
          </a:ln>
          <a:effectLst/>
        </c:spPr>
        <c:dLbl>
          <c:idx val="0"/>
          <c:tx>
            <c:rich>
              <a:bodyPr rot="0" spcFirstLastPara="1" vertOverflow="ellipsis" vert="horz" wrap="none" lIns="7200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F99FE3-F4D8-4DC0-AC64-D473C2A5AA4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barChart>
        <c:barDir val="bar"/>
        <c:grouping val="clustered"/>
        <c:varyColors val="0"/>
        <c:ser>
          <c:idx val="0"/>
          <c:order val="0"/>
          <c:tx>
            <c:strRef>
              <c:f>pivotreport!$L$37:$L$38</c:f>
              <c:strCache>
                <c:ptCount val="1"/>
                <c:pt idx="0">
                  <c:v>Count of Patient Admission Flag</c:v>
                </c:pt>
              </c:strCache>
            </c:strRef>
          </c:tx>
          <c:spPr>
            <a:solidFill>
              <a:schemeClr val="accent1"/>
            </a:solidFill>
            <a:ln w="22225">
              <a:solidFill>
                <a:schemeClr val="lt1">
                  <a:shade val="50000"/>
                </a:schemeClr>
              </a:solidFill>
            </a:ln>
            <a:effectLst/>
          </c:spPr>
          <c:invertIfNegative val="0"/>
          <c:dPt>
            <c:idx val="0"/>
            <c:invertIfNegative val="0"/>
            <c:bubble3D val="0"/>
            <c:extLst>
              <c:ext xmlns:c16="http://schemas.microsoft.com/office/drawing/2014/chart" uri="{C3380CC4-5D6E-409C-BE32-E72D297353CC}">
                <c16:uniqueId val="{00000004-2DFC-45C9-B1FE-25FEF1C44392}"/>
              </c:ext>
            </c:extLst>
          </c:dPt>
          <c:dPt>
            <c:idx val="1"/>
            <c:invertIfNegative val="0"/>
            <c:bubble3D val="0"/>
            <c:spPr>
              <a:solidFill>
                <a:schemeClr val="accent1"/>
              </a:solidFill>
              <a:ln w="22225" cmpd="sng">
                <a:solidFill>
                  <a:schemeClr val="lt1">
                    <a:shade val="50000"/>
                  </a:schemeClr>
                </a:solidFill>
              </a:ln>
              <a:effectLst/>
            </c:spPr>
            <c:extLst>
              <c:ext xmlns:c16="http://schemas.microsoft.com/office/drawing/2014/chart" uri="{C3380CC4-5D6E-409C-BE32-E72D297353CC}">
                <c16:uniqueId val="{00000003-2DFC-45C9-B1FE-25FEF1C44392}"/>
              </c:ext>
            </c:extLst>
          </c:dPt>
          <c:dLbls>
            <c:dLbl>
              <c:idx val="0"/>
              <c:tx>
                <c:rich>
                  <a:bodyPr/>
                  <a:lstStyle/>
                  <a:p>
                    <a:fld id="{A6F99FE3-F4D8-4DC0-AC64-D473C2A5AA4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DFC-45C9-B1FE-25FEF1C44392}"/>
                </c:ext>
              </c:extLst>
            </c:dLbl>
            <c:dLbl>
              <c:idx val="1"/>
              <c:tx>
                <c:rich>
                  <a:bodyPr/>
                  <a:lstStyle/>
                  <a:p>
                    <a:fld id="{D4772A4A-5D56-470C-BEB4-CC644468230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DFC-45C9-B1FE-25FEF1C44392}"/>
                </c:ext>
              </c:extLst>
            </c:dLbl>
            <c:spPr>
              <a:noFill/>
              <a:ln>
                <a:noFill/>
              </a:ln>
              <a:effectLst/>
            </c:spPr>
            <c:txPr>
              <a:bodyPr rot="0" spcFirstLastPara="1" vertOverflow="ellipsis" vert="horz" wrap="none" lIns="7200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pivotreport!$L$37:$L$38</c:f>
              <c:strCache>
                <c:ptCount val="2"/>
                <c:pt idx="0">
                  <c:v>Admitted</c:v>
                </c:pt>
                <c:pt idx="1">
                  <c:v>Not Admitted</c:v>
                </c:pt>
              </c:strCache>
            </c:strRef>
          </c:cat>
          <c:val>
            <c:numRef>
              <c:f>pivotreport!$L$37:$L$38</c:f>
              <c:numCache>
                <c:formatCode>0.00</c:formatCode>
                <c:ptCount val="2"/>
                <c:pt idx="0">
                  <c:v>266</c:v>
                </c:pt>
                <c:pt idx="1">
                  <c:v>222</c:v>
                </c:pt>
              </c:numCache>
            </c:numRef>
          </c:val>
          <c:extLst>
            <c:ext xmlns:c15="http://schemas.microsoft.com/office/drawing/2012/chart" uri="{02D57815-91ED-43cb-92C2-25804820EDAC}">
              <c15:datalabelsRange>
                <c15:f>pivotreport!$L$37:$L$38</c15:f>
                <c15:dlblRangeCache>
                  <c:ptCount val="2"/>
                  <c:pt idx="0">
                    <c:v>54.51%</c:v>
                  </c:pt>
                  <c:pt idx="1">
                    <c:v>45.49%</c:v>
                  </c:pt>
                </c15:dlblRangeCache>
              </c15:datalabelsRange>
            </c:ext>
            <c:ext xmlns:c16="http://schemas.microsoft.com/office/drawing/2014/chart" uri="{C3380CC4-5D6E-409C-BE32-E72D297353CC}">
              <c16:uniqueId val="{00000000-2DFC-45C9-B1FE-25FEF1C44392}"/>
            </c:ext>
          </c:extLst>
        </c:ser>
        <c:ser>
          <c:idx val="1"/>
          <c:order val="1"/>
          <c:tx>
            <c:strRef>
              <c:f>pivotreport!$L$37:$L$38</c:f>
              <c:strCache>
                <c:ptCount val="1"/>
                <c:pt idx="0">
                  <c:v>Count of Patient Admission Flag2</c:v>
                </c:pt>
              </c:strCache>
            </c:strRef>
          </c:tx>
          <c:spPr>
            <a:solidFill>
              <a:schemeClr val="accent2"/>
            </a:solidFill>
            <a:ln>
              <a:noFill/>
            </a:ln>
            <a:effectLst/>
          </c:spPr>
          <c:invertIfNegative val="0"/>
          <c:cat>
            <c:strRef>
              <c:f>pivotreport!$L$37:$L$38</c:f>
              <c:strCache>
                <c:ptCount val="2"/>
                <c:pt idx="0">
                  <c:v>Admitted</c:v>
                </c:pt>
                <c:pt idx="1">
                  <c:v>Not Admitted</c:v>
                </c:pt>
              </c:strCache>
            </c:strRef>
          </c:cat>
          <c:val>
            <c:numRef>
              <c:f>pivotreport!$L$37:$L$38</c:f>
              <c:numCache>
                <c:formatCode>0.00%</c:formatCode>
                <c:ptCount val="2"/>
                <c:pt idx="0">
                  <c:v>0.54508196721311475</c:v>
                </c:pt>
                <c:pt idx="1">
                  <c:v>0.45491803278688525</c:v>
                </c:pt>
              </c:numCache>
            </c:numRef>
          </c:val>
          <c:extLst>
            <c:ext xmlns:c16="http://schemas.microsoft.com/office/drawing/2014/chart" uri="{C3380CC4-5D6E-409C-BE32-E72D297353CC}">
              <c16:uniqueId val="{00000001-2DFC-45C9-B1FE-25FEF1C44392}"/>
            </c:ext>
          </c:extLst>
        </c:ser>
        <c:dLbls>
          <c:showLegendKey val="0"/>
          <c:showVal val="0"/>
          <c:showCatName val="0"/>
          <c:showSerName val="0"/>
          <c:showPercent val="0"/>
          <c:showBubbleSize val="0"/>
        </c:dLbls>
        <c:gapWidth val="182"/>
        <c:axId val="1947901392"/>
        <c:axId val="1947901872"/>
      </c:barChart>
      <c:catAx>
        <c:axId val="194790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901872"/>
        <c:crosses val="autoZero"/>
        <c:auto val="1"/>
        <c:lblAlgn val="ctr"/>
        <c:lblOffset val="100"/>
        <c:noMultiLvlLbl val="0"/>
      </c:catAx>
      <c:valAx>
        <c:axId val="1947901872"/>
        <c:scaling>
          <c:orientation val="minMax"/>
        </c:scaling>
        <c:delete val="1"/>
        <c:axPos val="b"/>
        <c:numFmt formatCode="0.00" sourceLinked="1"/>
        <c:majorTickMark val="none"/>
        <c:minorTickMark val="none"/>
        <c:tickLblPos val="nextTo"/>
        <c:crossAx val="194790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[hospilat_project.xlsx]pivotreport!PivotTable5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36373550360387E-2"/>
          <c:y val="3.1563766415858042E-2"/>
          <c:w val="0.91859316197520602"/>
          <c:h val="0.86746081217493454"/>
        </c:manualLayout>
      </c:layout>
      <c:areaChart>
        <c:grouping val="standard"/>
        <c:varyColors val="0"/>
        <c:ser>
          <c:idx val="0"/>
          <c:order val="0"/>
          <c:tx>
            <c:strRef>
              <c:f>pivotreport!$E$16</c:f>
              <c:strCache>
                <c:ptCount val="1"/>
                <c:pt idx="0">
                  <c:v>Total</c:v>
                </c:pt>
              </c:strCache>
            </c:strRef>
          </c:tx>
          <c:spPr>
            <a:solidFill>
              <a:srgbClr val="92D050"/>
            </a:solidFill>
            <a:ln>
              <a:solidFill>
                <a:schemeClr val="accent1">
                  <a:shade val="15000"/>
                </a:schemeClr>
              </a:solidFill>
            </a:ln>
            <a:effectLst/>
          </c:spPr>
          <c:cat>
            <c:strRef>
              <c:f>pivotreport!$D$17:$D$48</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pivotreport!$E$17:$E$48</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3F66-4192-AB0B-83279C70E67A}"/>
            </c:ext>
          </c:extLst>
        </c:ser>
        <c:dLbls>
          <c:showLegendKey val="0"/>
          <c:showVal val="0"/>
          <c:showCatName val="0"/>
          <c:showSerName val="0"/>
          <c:showPercent val="0"/>
          <c:showBubbleSize val="0"/>
        </c:dLbls>
        <c:axId val="1835452928"/>
        <c:axId val="1835451488"/>
      </c:areaChart>
      <c:catAx>
        <c:axId val="1835452928"/>
        <c:scaling>
          <c:orientation val="minMax"/>
        </c:scaling>
        <c:delete val="1"/>
        <c:axPos val="b"/>
        <c:numFmt formatCode="General" sourceLinked="1"/>
        <c:majorTickMark val="out"/>
        <c:minorTickMark val="none"/>
        <c:tickLblPos val="nextTo"/>
        <c:crossAx val="1835451488"/>
        <c:crosses val="autoZero"/>
        <c:auto val="1"/>
        <c:lblAlgn val="ctr"/>
        <c:lblOffset val="100"/>
        <c:noMultiLvlLbl val="0"/>
      </c:catAx>
      <c:valAx>
        <c:axId val="1835451488"/>
        <c:scaling>
          <c:orientation val="minMax"/>
        </c:scaling>
        <c:delete val="1"/>
        <c:axPos val="l"/>
        <c:numFmt formatCode="General" sourceLinked="1"/>
        <c:majorTickMark val="none"/>
        <c:minorTickMark val="none"/>
        <c:tickLblPos val="nextTo"/>
        <c:crossAx val="1835452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[hospilat_project.xlsx]pivotreport!PivotTable7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pivotreport!$I$22</c:f>
              <c:strCache>
                <c:ptCount val="1"/>
                <c:pt idx="0">
                  <c:v>Total</c:v>
                </c:pt>
              </c:strCache>
            </c:strRef>
          </c:tx>
          <c:spPr>
            <a:solidFill>
              <a:srgbClr val="FFFF00"/>
            </a:solidFill>
            <a:ln>
              <a:noFill/>
            </a:ln>
            <a:effectLst/>
          </c:spPr>
          <c:cat>
            <c:strRef>
              <c:f>pivotreport!$H$23:$H$54</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pivotreport!$I$23:$I$54</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E7F3-4101-9A1F-1A18915ECAD8}"/>
            </c:ext>
          </c:extLst>
        </c:ser>
        <c:dLbls>
          <c:showLegendKey val="0"/>
          <c:showVal val="0"/>
          <c:showCatName val="0"/>
          <c:showSerName val="0"/>
          <c:showPercent val="0"/>
          <c:showBubbleSize val="0"/>
        </c:dLbls>
        <c:axId val="813550864"/>
        <c:axId val="813548944"/>
      </c:areaChart>
      <c:catAx>
        <c:axId val="813550864"/>
        <c:scaling>
          <c:orientation val="minMax"/>
        </c:scaling>
        <c:delete val="1"/>
        <c:axPos val="b"/>
        <c:numFmt formatCode="General" sourceLinked="1"/>
        <c:majorTickMark val="out"/>
        <c:minorTickMark val="none"/>
        <c:tickLblPos val="nextTo"/>
        <c:crossAx val="813548944"/>
        <c:crosses val="autoZero"/>
        <c:auto val="1"/>
        <c:lblAlgn val="ctr"/>
        <c:lblOffset val="100"/>
        <c:noMultiLvlLbl val="0"/>
      </c:catAx>
      <c:valAx>
        <c:axId val="813548944"/>
        <c:scaling>
          <c:orientation val="minMax"/>
        </c:scaling>
        <c:delete val="1"/>
        <c:axPos val="l"/>
        <c:numFmt formatCode="0.00" sourceLinked="1"/>
        <c:majorTickMark val="none"/>
        <c:minorTickMark val="none"/>
        <c:tickLblPos val="nextTo"/>
        <c:crossAx val="813550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[hospilat_project.xlsx]pivotreport!PivotTable8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8485950143532E-3"/>
          <c:y val="1.8518863753788462E-2"/>
          <c:w val="0.99722222222222223"/>
          <c:h val="0.98148148148148151"/>
        </c:manualLayout>
      </c:layout>
      <c:areaChart>
        <c:grouping val="standard"/>
        <c:varyColors val="0"/>
        <c:ser>
          <c:idx val="0"/>
          <c:order val="0"/>
          <c:tx>
            <c:strRef>
              <c:f>pivotreport!$N$53</c:f>
              <c:strCache>
                <c:ptCount val="1"/>
                <c:pt idx="0">
                  <c:v>Total</c:v>
                </c:pt>
              </c:strCache>
            </c:strRef>
          </c:tx>
          <c:spPr>
            <a:solidFill>
              <a:srgbClr val="FFC000"/>
            </a:solidFill>
            <a:ln>
              <a:noFill/>
            </a:ln>
            <a:effectLst/>
          </c:spPr>
          <c:cat>
            <c:strRef>
              <c:f>pivotreport!$M$54:$M$85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pivotreport!$N$54:$N$85</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3E67-4ECA-B6B6-FBB8D9FD5E6C}"/>
            </c:ext>
          </c:extLst>
        </c:ser>
        <c:dLbls>
          <c:showLegendKey val="0"/>
          <c:showVal val="0"/>
          <c:showCatName val="0"/>
          <c:showSerName val="0"/>
          <c:showPercent val="0"/>
          <c:showBubbleSize val="0"/>
        </c:dLbls>
        <c:axId val="1006882800"/>
        <c:axId val="1006878480"/>
      </c:areaChart>
      <c:catAx>
        <c:axId val="1006882800"/>
        <c:scaling>
          <c:orientation val="minMax"/>
        </c:scaling>
        <c:delete val="1"/>
        <c:axPos val="b"/>
        <c:numFmt formatCode="General" sourceLinked="1"/>
        <c:majorTickMark val="out"/>
        <c:minorTickMark val="none"/>
        <c:tickLblPos val="nextTo"/>
        <c:crossAx val="1006878480"/>
        <c:crosses val="autoZero"/>
        <c:auto val="1"/>
        <c:lblAlgn val="ctr"/>
        <c:lblOffset val="100"/>
        <c:noMultiLvlLbl val="0"/>
      </c:catAx>
      <c:valAx>
        <c:axId val="1006878480"/>
        <c:scaling>
          <c:orientation val="minMax"/>
        </c:scaling>
        <c:delete val="1"/>
        <c:axPos val="l"/>
        <c:numFmt formatCode="0.00" sourceLinked="1"/>
        <c:majorTickMark val="none"/>
        <c:minorTickMark val="none"/>
        <c:tickLblPos val="nextTo"/>
        <c:crossAx val="1006882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[hospilat_project.xlsx]pivotreport!PivotTable10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130431507971328E-2"/>
          <c:y val="2.8061233884124043E-2"/>
          <c:w val="0.96183667205808421"/>
          <c:h val="0.8017168172226744"/>
        </c:manualLayout>
      </c:layout>
      <c:barChart>
        <c:barDir val="col"/>
        <c:grouping val="clustered"/>
        <c:varyColors val="0"/>
        <c:ser>
          <c:idx val="0"/>
          <c:order val="0"/>
          <c:tx>
            <c:strRef>
              <c:f>pivotreport!$B$29</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pivotreport!$A$30:$A$38</c:f>
              <c:strCache>
                <c:ptCount val="8"/>
                <c:pt idx="0">
                  <c:v>0-09</c:v>
                </c:pt>
                <c:pt idx="1">
                  <c:v>10-19</c:v>
                </c:pt>
                <c:pt idx="2">
                  <c:v>20-29</c:v>
                </c:pt>
                <c:pt idx="3">
                  <c:v>30-39</c:v>
                </c:pt>
                <c:pt idx="4">
                  <c:v>40-49</c:v>
                </c:pt>
                <c:pt idx="5">
                  <c:v>50-59</c:v>
                </c:pt>
                <c:pt idx="6">
                  <c:v>60-69</c:v>
                </c:pt>
                <c:pt idx="7">
                  <c:v>70-79</c:v>
                </c:pt>
              </c:strCache>
            </c:strRef>
          </c:cat>
          <c:val>
            <c:numRef>
              <c:f>pivotreport!$B$30:$B$38</c:f>
              <c:numCache>
                <c:formatCode>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0-56D9-4437-98DC-711B2D421316}"/>
            </c:ext>
          </c:extLst>
        </c:ser>
        <c:dLbls>
          <c:showLegendKey val="0"/>
          <c:showVal val="0"/>
          <c:showCatName val="0"/>
          <c:showSerName val="0"/>
          <c:showPercent val="0"/>
          <c:showBubbleSize val="0"/>
        </c:dLbls>
        <c:gapWidth val="219"/>
        <c:overlap val="-27"/>
        <c:axId val="1006873680"/>
        <c:axId val="1006858320"/>
      </c:barChart>
      <c:catAx>
        <c:axId val="100687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858320"/>
        <c:crosses val="autoZero"/>
        <c:auto val="1"/>
        <c:lblAlgn val="ctr"/>
        <c:lblOffset val="100"/>
        <c:noMultiLvlLbl val="0"/>
      </c:catAx>
      <c:valAx>
        <c:axId val="1006858320"/>
        <c:scaling>
          <c:orientation val="minMax"/>
        </c:scaling>
        <c:delete val="1"/>
        <c:axPos val="l"/>
        <c:numFmt formatCode="0" sourceLinked="1"/>
        <c:majorTickMark val="none"/>
        <c:minorTickMark val="none"/>
        <c:tickLblPos val="nextTo"/>
        <c:crossAx val="1006873680"/>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[hospilat_project.xlsx]pivotreport!PivotTable11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995879137322891"/>
          <c:y val="0.23949258269611515"/>
          <c:w val="0.56380631156555971"/>
          <c:h val="0.7495537987831814"/>
        </c:manualLayout>
      </c:layout>
      <c:pieChart>
        <c:varyColors val="1"/>
        <c:ser>
          <c:idx val="0"/>
          <c:order val="0"/>
          <c:tx>
            <c:strRef>
              <c:f>pivotreport!$B$41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FB3-40A1-B432-8E6CF2F80E2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FB3-40A1-B432-8E6CF2F80E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pivotreport!$A$42:$A$44</c:f>
              <c:strCache>
                <c:ptCount val="2"/>
                <c:pt idx="0">
                  <c:v>Delay</c:v>
                </c:pt>
                <c:pt idx="1">
                  <c:v>On Time</c:v>
                </c:pt>
              </c:strCache>
            </c:strRef>
          </c:cat>
          <c:val>
            <c:numRef>
              <c:f>pivotreport!$B$42:$B$44</c:f>
              <c:numCache>
                <c:formatCode>0.00</c:formatCode>
                <c:ptCount val="2"/>
                <c:pt idx="0">
                  <c:v>288</c:v>
                </c:pt>
                <c:pt idx="1">
                  <c:v>200</c:v>
                </c:pt>
              </c:numCache>
            </c:numRef>
          </c:val>
          <c:extLst>
            <c:ext xmlns:c16="http://schemas.microsoft.com/office/drawing/2014/chart" uri="{C3380CC4-5D6E-409C-BE32-E72D297353CC}">
              <c16:uniqueId val="{00000004-7FB3-40A1-B432-8E6CF2F80E2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8130077579535394E-2"/>
          <c:y val="3.0635814473674836E-2"/>
          <c:w val="0.87518898315563487"/>
          <c:h val="0.1746734358049816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[hospilat_project.xlsx]pivotreport!PivotTable12</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1714276284480197"/>
          <c:y val="0.2613407398365305"/>
          <c:w val="0.5557085952491233"/>
          <c:h val="0.63585848827468916"/>
        </c:manualLayout>
      </c:layout>
      <c:doughnutChart>
        <c:varyColors val="1"/>
        <c:ser>
          <c:idx val="0"/>
          <c:order val="0"/>
          <c:tx>
            <c:strRef>
              <c:f>pivotreport!$B$51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20E-471B-9FE2-A0BC642BE8E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20E-471B-9FE2-A0BC642BE8E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pivotreport!$A$52:$A$54</c:f>
              <c:strCache>
                <c:ptCount val="2"/>
                <c:pt idx="0">
                  <c:v>Female</c:v>
                </c:pt>
                <c:pt idx="1">
                  <c:v>Male</c:v>
                </c:pt>
              </c:strCache>
            </c:strRef>
          </c:cat>
          <c:val>
            <c:numRef>
              <c:f>pivotreport!$B$52:$B$54</c:f>
              <c:numCache>
                <c:formatCode>0.00</c:formatCode>
                <c:ptCount val="2"/>
                <c:pt idx="0">
                  <c:v>232</c:v>
                </c:pt>
                <c:pt idx="1">
                  <c:v>256</c:v>
                </c:pt>
              </c:numCache>
            </c:numRef>
          </c:val>
          <c:extLst>
            <c:ext xmlns:c16="http://schemas.microsoft.com/office/drawing/2014/chart" uri="{C3380CC4-5D6E-409C-BE32-E72D297353CC}">
              <c16:uniqueId val="{00000004-820E-471B-9FE2-A0BC642BE8EF}"/>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layout>
        <c:manualLayout>
          <c:xMode val="edge"/>
          <c:yMode val="edge"/>
          <c:x val="0.17857466056122248"/>
          <c:y val="5.1974250544176093E-2"/>
          <c:w val="0.77509381941915767"/>
          <c:h val="0.2084418275756242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[hospilat_project.xlsx]pivotreport!PivotTable13</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73149021410591E-2"/>
          <c:y val="8.0983887430737825E-2"/>
          <c:w val="0.8883450864852086"/>
          <c:h val="0.6414584054682515"/>
        </c:manualLayout>
      </c:layout>
      <c:barChart>
        <c:barDir val="col"/>
        <c:grouping val="clustered"/>
        <c:varyColors val="0"/>
        <c:ser>
          <c:idx val="0"/>
          <c:order val="0"/>
          <c:tx>
            <c:strRef>
              <c:f>pivotreport!$B$59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pivotreport!$A$60:$A$68</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pivotreport!$B$60:$B$68</c:f>
              <c:numCache>
                <c:formatCode>0.00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0-1740-4069-A0BF-26133C80D2E9}"/>
            </c:ext>
          </c:extLst>
        </c:ser>
        <c:dLbls>
          <c:dLblPos val="inEnd"/>
          <c:showLegendKey val="0"/>
          <c:showVal val="1"/>
          <c:showCatName val="0"/>
          <c:showSerName val="0"/>
          <c:showPercent val="0"/>
          <c:showBubbleSize val="0"/>
        </c:dLbls>
        <c:gapWidth val="115"/>
        <c:axId val="2047581200"/>
        <c:axId val="2047581680"/>
      </c:barChart>
      <c:catAx>
        <c:axId val="2047581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581680"/>
        <c:crosses val="autoZero"/>
        <c:auto val="1"/>
        <c:lblAlgn val="ctr"/>
        <c:lblOffset val="100"/>
        <c:noMultiLvlLbl val="0"/>
      </c:catAx>
      <c:valAx>
        <c:axId val="20475816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5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[hospilat_project.xlsx]pivotreport!PivotTable5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172765629587234E-2"/>
          <c:y val="0"/>
          <c:w val="0.91859316197520602"/>
          <c:h val="0.86746106291255154"/>
        </c:manualLayout>
      </c:layout>
      <c:areaChart>
        <c:grouping val="standard"/>
        <c:varyColors val="0"/>
        <c:ser>
          <c:idx val="0"/>
          <c:order val="0"/>
          <c:tx>
            <c:strRef>
              <c:f>pivotreport!$E$16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pivotreport!$D$17:$D$48</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pivotreport!$E$17:$E$48</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398D-41CF-96AA-14A712B05FA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35452928"/>
        <c:axId val="1835451488"/>
      </c:areaChart>
      <c:catAx>
        <c:axId val="18354529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5451488"/>
        <c:crosses val="autoZero"/>
        <c:auto val="1"/>
        <c:lblAlgn val="ctr"/>
        <c:lblOffset val="100"/>
        <c:noMultiLvlLbl val="0"/>
      </c:catAx>
      <c:valAx>
        <c:axId val="1835451488"/>
        <c:scaling>
          <c:orientation val="minMax"/>
        </c:scaling>
        <c:delete val="1"/>
        <c:axPos val="l"/>
        <c:numFmt formatCode="General" sourceLinked="1"/>
        <c:majorTickMark val="out"/>
        <c:minorTickMark val="none"/>
        <c:tickLblPos val="nextTo"/>
        <c:crossAx val="1835452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[hospilat_project.xlsx]pivotreport!PivotTable7</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pivotreport!$I$22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pivotreport!$H$23:$H$54</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pivotreport!$I$23:$I$54</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0290-476A-9AA9-ACB44150D50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13550864"/>
        <c:axId val="813548944"/>
      </c:areaChart>
      <c:catAx>
        <c:axId val="8135508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813548944"/>
        <c:crosses val="autoZero"/>
        <c:auto val="1"/>
        <c:lblAlgn val="ctr"/>
        <c:lblOffset val="100"/>
        <c:noMultiLvlLbl val="0"/>
      </c:catAx>
      <c:valAx>
        <c:axId val="813548944"/>
        <c:scaling>
          <c:orientation val="minMax"/>
        </c:scaling>
        <c:delete val="1"/>
        <c:axPos val="l"/>
        <c:numFmt formatCode="0.00" sourceLinked="1"/>
        <c:majorTickMark val="out"/>
        <c:minorTickMark val="none"/>
        <c:tickLblPos val="nextTo"/>
        <c:crossAx val="813550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[hospilat_project.xlsx]pivotreport!PivotTable8</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pivotreport!$N$53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pivotreport!$M$54:$M$85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pivotreport!$N$54:$N$85</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5DFE-4065-B0BD-F6C37AED890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06882800"/>
        <c:axId val="1006878480"/>
      </c:areaChart>
      <c:catAx>
        <c:axId val="10068828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06878480"/>
        <c:crosses val="autoZero"/>
        <c:auto val="1"/>
        <c:lblAlgn val="ctr"/>
        <c:lblOffset val="100"/>
        <c:noMultiLvlLbl val="0"/>
      </c:catAx>
      <c:valAx>
        <c:axId val="1006878480"/>
        <c:scaling>
          <c:orientation val="minMax"/>
        </c:scaling>
        <c:delete val="1"/>
        <c:axPos val="l"/>
        <c:numFmt formatCode="0.00" sourceLinked="1"/>
        <c:majorTickMark val="out"/>
        <c:minorTickMark val="none"/>
        <c:tickLblPos val="nextTo"/>
        <c:crossAx val="1006882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satisfactionrate!A1"/><Relationship Id="rId18" Type="http://schemas.openxmlformats.org/officeDocument/2006/relationships/chart" Target="../charts/chart8.xml"/><Relationship Id="rId3" Type="http://schemas.openxmlformats.org/officeDocument/2006/relationships/hyperlink" Target="#dailayvisit!A1"/><Relationship Id="rId7" Type="http://schemas.openxmlformats.org/officeDocument/2006/relationships/image" Target="../media/image5.png"/><Relationship Id="rId12" Type="http://schemas.openxmlformats.org/officeDocument/2006/relationships/chart" Target="../charts/chart4.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hyperlink" Target="#averagewaittime!A1"/><Relationship Id="rId5" Type="http://schemas.openxmlformats.org/officeDocument/2006/relationships/image" Target="../media/image3.png"/><Relationship Id="rId15" Type="http://schemas.openxmlformats.org/officeDocument/2006/relationships/image" Target="../media/image9.emf"/><Relationship Id="rId10" Type="http://schemas.openxmlformats.org/officeDocument/2006/relationships/image" Target="../media/image8.svg"/><Relationship Id="rId19"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image" Target="../media/image7.png"/><Relationship Id="rId1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4.svg"/></Relationships>
</file>

<file path=xl/drawings/_rels/drawing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6.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0</xdr:colOff>
      <xdr:row>8</xdr:row>
      <xdr:rowOff>7620</xdr:rowOff>
    </xdr:from>
    <xdr:to>
      <xdr:col>4</xdr:col>
      <xdr:colOff>1173480</xdr:colOff>
      <xdr:row>10</xdr:row>
      <xdr:rowOff>22860</xdr:rowOff>
    </xdr:to>
    <xdr:graphicFrame macro="">
      <xdr:nvGraphicFramePr>
        <xdr:cNvPr id="2" name="Chart 1">
          <a:extLst>
            <a:ext uri="{FF2B5EF4-FFF2-40B4-BE49-F238E27FC236}">
              <a16:creationId xmlns:a16="http://schemas.microsoft.com/office/drawing/2014/main" id="{816623CE-4257-985D-43E5-42D6D6251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17568</xdr:colOff>
      <xdr:row>27</xdr:row>
      <xdr:rowOff>25491</xdr:rowOff>
    </xdr:from>
    <xdr:to>
      <xdr:col>13</xdr:col>
      <xdr:colOff>1678329</xdr:colOff>
      <xdr:row>30</xdr:row>
      <xdr:rowOff>167934</xdr:rowOff>
    </xdr:to>
    <xdr:graphicFrame macro="">
      <xdr:nvGraphicFramePr>
        <xdr:cNvPr id="11" name="Chart 10">
          <a:extLst>
            <a:ext uri="{FF2B5EF4-FFF2-40B4-BE49-F238E27FC236}">
              <a16:creationId xmlns:a16="http://schemas.microsoft.com/office/drawing/2014/main" id="{20772293-A8CA-DEDC-5452-D450CDFB0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143741</xdr:colOff>
      <xdr:row>0</xdr:row>
      <xdr:rowOff>121920</xdr:rowOff>
    </xdr:from>
    <xdr:to>
      <xdr:col>5</xdr:col>
      <xdr:colOff>254000</xdr:colOff>
      <xdr:row>6</xdr:row>
      <xdr:rowOff>46181</xdr:rowOff>
    </xdr:to>
    <xdr:sp macro="" textlink="">
      <xdr:nvSpPr>
        <xdr:cNvPr id="3" name="Rectangle: Rounded Corners 2">
          <a:extLst>
            <a:ext uri="{FF2B5EF4-FFF2-40B4-BE49-F238E27FC236}">
              <a16:creationId xmlns:a16="http://schemas.microsoft.com/office/drawing/2014/main" id="{399E6A5B-F713-4A63-B74C-58FCA2340B43}"/>
            </a:ext>
          </a:extLst>
        </xdr:cNvPr>
        <xdr:cNvSpPr/>
      </xdr:nvSpPr>
      <xdr:spPr>
        <a:xfrm>
          <a:off x="143741" y="121920"/>
          <a:ext cx="3169804" cy="1032625"/>
        </a:xfrm>
        <a:prstGeom prst="roundRect">
          <a:avLst>
            <a:gd name="adj" fmla="val 16372"/>
          </a:avLst>
        </a:prstGeom>
        <a:solidFill>
          <a:schemeClr val="bg1">
            <a:lumMod val="95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407605</xdr:colOff>
      <xdr:row>5</xdr:row>
      <xdr:rowOff>81321</xdr:rowOff>
    </xdr:from>
    <xdr:to>
      <xdr:col>14</xdr:col>
      <xdr:colOff>506995</xdr:colOff>
      <xdr:row>13</xdr:row>
      <xdr:rowOff>42324</xdr:rowOff>
    </xdr:to>
    <xdr:sp macro="" textlink="">
      <xdr:nvSpPr>
        <xdr:cNvPr id="7" name="Rectangle: Rounded Corners 6">
          <a:extLst>
            <a:ext uri="{FF2B5EF4-FFF2-40B4-BE49-F238E27FC236}">
              <a16:creationId xmlns:a16="http://schemas.microsoft.com/office/drawing/2014/main" id="{E87C570F-61F2-428E-B8B5-CA9BC83A307C}"/>
            </a:ext>
          </a:extLst>
        </xdr:cNvPr>
        <xdr:cNvSpPr/>
      </xdr:nvSpPr>
      <xdr:spPr>
        <a:xfrm>
          <a:off x="4690969" y="1004957"/>
          <a:ext cx="4382753" cy="1438822"/>
        </a:xfrm>
        <a:prstGeom prst="roundRect">
          <a:avLst>
            <a:gd name="adj" fmla="val 327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108760</xdr:colOff>
      <xdr:row>13</xdr:row>
      <xdr:rowOff>110143</xdr:rowOff>
    </xdr:from>
    <xdr:to>
      <xdr:col>3</xdr:col>
      <xdr:colOff>142011</xdr:colOff>
      <xdr:row>22</xdr:row>
      <xdr:rowOff>64423</xdr:rowOff>
    </xdr:to>
    <xdr:sp macro="" textlink="">
      <xdr:nvSpPr>
        <xdr:cNvPr id="14" name="Rectangle 13">
          <a:extLst>
            <a:ext uri="{FF2B5EF4-FFF2-40B4-BE49-F238E27FC236}">
              <a16:creationId xmlns:a16="http://schemas.microsoft.com/office/drawing/2014/main" id="{5F83202D-E991-4F64-7BCC-BDE4196C7342}"/>
            </a:ext>
          </a:extLst>
        </xdr:cNvPr>
        <xdr:cNvSpPr/>
      </xdr:nvSpPr>
      <xdr:spPr>
        <a:xfrm>
          <a:off x="108760" y="2451561"/>
          <a:ext cx="1862051" cy="157526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xdr:colOff>
      <xdr:row>13</xdr:row>
      <xdr:rowOff>137583</xdr:rowOff>
    </xdr:from>
    <xdr:to>
      <xdr:col>12</xdr:col>
      <xdr:colOff>508002</xdr:colOff>
      <xdr:row>24</xdr:row>
      <xdr:rowOff>169334</xdr:rowOff>
    </xdr:to>
    <xdr:sp macro="" textlink="">
      <xdr:nvSpPr>
        <xdr:cNvPr id="16" name="Rectangle: Rounded Corners 15">
          <a:extLst>
            <a:ext uri="{FF2B5EF4-FFF2-40B4-BE49-F238E27FC236}">
              <a16:creationId xmlns:a16="http://schemas.microsoft.com/office/drawing/2014/main" id="{63874387-057A-B0F2-0448-1E1C84113E2A}"/>
            </a:ext>
          </a:extLst>
        </xdr:cNvPr>
        <xdr:cNvSpPr/>
      </xdr:nvSpPr>
      <xdr:spPr>
        <a:xfrm>
          <a:off x="6138334" y="2476500"/>
          <a:ext cx="1735668" cy="2010834"/>
        </a:xfrm>
        <a:prstGeom prst="roundRect">
          <a:avLst>
            <a:gd name="adj" fmla="val 3904"/>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31750</xdr:colOff>
      <xdr:row>25</xdr:row>
      <xdr:rowOff>84666</xdr:rowOff>
    </xdr:from>
    <xdr:to>
      <xdr:col>12</xdr:col>
      <xdr:colOff>476250</xdr:colOff>
      <xdr:row>35</xdr:row>
      <xdr:rowOff>95250</xdr:rowOff>
    </xdr:to>
    <xdr:sp macro="" textlink="">
      <xdr:nvSpPr>
        <xdr:cNvPr id="23" name="Rectangle: Rounded Corners 22">
          <a:extLst>
            <a:ext uri="{FF2B5EF4-FFF2-40B4-BE49-F238E27FC236}">
              <a16:creationId xmlns:a16="http://schemas.microsoft.com/office/drawing/2014/main" id="{B8630F58-8E05-492B-B1A0-6D24C3DD5F9B}"/>
            </a:ext>
          </a:extLst>
        </xdr:cNvPr>
        <xdr:cNvSpPr/>
      </xdr:nvSpPr>
      <xdr:spPr>
        <a:xfrm>
          <a:off x="6170083" y="4582583"/>
          <a:ext cx="1672167" cy="1809750"/>
        </a:xfrm>
        <a:prstGeom prst="roundRect">
          <a:avLst>
            <a:gd name="adj" fmla="val 4043"/>
          </a:avLst>
        </a:prstGeom>
        <a:solidFill>
          <a:schemeClr val="accent4">
            <a:lumMod val="40000"/>
            <a:lumOff val="60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539750</xdr:colOff>
      <xdr:row>13</xdr:row>
      <xdr:rowOff>142876</xdr:rowOff>
    </xdr:from>
    <xdr:to>
      <xdr:col>14</xdr:col>
      <xdr:colOff>554271</xdr:colOff>
      <xdr:row>35</xdr:row>
      <xdr:rowOff>95250</xdr:rowOff>
    </xdr:to>
    <xdr:sp macro="" textlink="">
      <xdr:nvSpPr>
        <xdr:cNvPr id="24" name="Rectangle: Rounded Corners 23">
          <a:extLst>
            <a:ext uri="{FF2B5EF4-FFF2-40B4-BE49-F238E27FC236}">
              <a16:creationId xmlns:a16="http://schemas.microsoft.com/office/drawing/2014/main" id="{3D8A541E-6065-72E5-16F0-0F3DFC476164}"/>
            </a:ext>
          </a:extLst>
        </xdr:cNvPr>
        <xdr:cNvSpPr/>
      </xdr:nvSpPr>
      <xdr:spPr>
        <a:xfrm>
          <a:off x="7778750" y="2619376"/>
          <a:ext cx="1221021" cy="4143374"/>
        </a:xfrm>
        <a:prstGeom prst="roundRect">
          <a:avLst>
            <a:gd name="adj" fmla="val 711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381990</xdr:colOff>
      <xdr:row>16</xdr:row>
      <xdr:rowOff>10884</xdr:rowOff>
    </xdr:from>
    <xdr:to>
      <xdr:col>3</xdr:col>
      <xdr:colOff>11875</xdr:colOff>
      <xdr:row>18</xdr:row>
      <xdr:rowOff>103907</xdr:rowOff>
    </xdr:to>
    <xdr:sp macro="" textlink="">
      <xdr:nvSpPr>
        <xdr:cNvPr id="4" name="TextBox 3">
          <a:extLst>
            <a:ext uri="{FF2B5EF4-FFF2-40B4-BE49-F238E27FC236}">
              <a16:creationId xmlns:a16="http://schemas.microsoft.com/office/drawing/2014/main" id="{A80D77DB-0F9B-0465-A1E1-D66E5E85103B}"/>
            </a:ext>
          </a:extLst>
        </xdr:cNvPr>
        <xdr:cNvSpPr txBox="1"/>
      </xdr:nvSpPr>
      <xdr:spPr>
        <a:xfrm>
          <a:off x="381990" y="2892629"/>
          <a:ext cx="1458685" cy="453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a:t>No. of </a:t>
          </a:r>
          <a:r>
            <a:rPr lang="en-IN" sz="1800">
              <a:solidFill>
                <a:schemeClr val="tx1"/>
              </a:solidFill>
            </a:rPr>
            <a:t>Patient</a:t>
          </a:r>
        </a:p>
      </xdr:txBody>
    </xdr:sp>
    <xdr:clientData/>
  </xdr:twoCellAnchor>
  <xdr:twoCellAnchor>
    <xdr:from>
      <xdr:col>1</xdr:col>
      <xdr:colOff>131619</xdr:colOff>
      <xdr:row>13</xdr:row>
      <xdr:rowOff>136567</xdr:rowOff>
    </xdr:from>
    <xdr:to>
      <xdr:col>2</xdr:col>
      <xdr:colOff>251362</xdr:colOff>
      <xdr:row>15</xdr:row>
      <xdr:rowOff>159230</xdr:rowOff>
    </xdr:to>
    <xdr:sp macro="" textlink="pivotreport!A5">
      <xdr:nvSpPr>
        <xdr:cNvPr id="5" name="TextBox 4">
          <a:extLst>
            <a:ext uri="{FF2B5EF4-FFF2-40B4-BE49-F238E27FC236}">
              <a16:creationId xmlns:a16="http://schemas.microsoft.com/office/drawing/2014/main" id="{1D7AF9FF-C2E3-34B0-A3CB-0EF52FA2AB52}"/>
            </a:ext>
          </a:extLst>
        </xdr:cNvPr>
        <xdr:cNvSpPr txBox="1"/>
      </xdr:nvSpPr>
      <xdr:spPr>
        <a:xfrm>
          <a:off x="741219" y="2477985"/>
          <a:ext cx="729343" cy="382881"/>
        </a:xfrm>
        <a:prstGeom prst="rect">
          <a:avLst/>
        </a:prstGeom>
        <a:noFill/>
        <a:ln>
          <a:noFill/>
        </a:ln>
      </xdr:spPr>
      <xdr:style>
        <a:lnRef idx="3">
          <a:schemeClr val="lt1"/>
        </a:lnRef>
        <a:fillRef idx="1">
          <a:schemeClr val="accent4"/>
        </a:fillRef>
        <a:effectRef idx="1">
          <a:schemeClr val="accent4"/>
        </a:effectRef>
        <a:fontRef idx="minor">
          <a:schemeClr val="lt1"/>
        </a:fontRef>
      </xdr:style>
      <xdr:txBody>
        <a:bodyPr vertOverflow="clip" horzOverflow="clip" wrap="square" lIns="0" tIns="0" rIns="0" bIns="0" rtlCol="0" anchor="t"/>
        <a:lstStyle/>
        <a:p>
          <a:fld id="{1A404AD6-112C-4685-9C21-DA002232E92A}" type="TxLink">
            <a:rPr lang="en-US" sz="2800" b="1" i="0" u="none" strike="noStrike">
              <a:solidFill>
                <a:srgbClr val="000000"/>
              </a:solidFill>
              <a:latin typeface="Calibri"/>
              <a:ea typeface="Calibri"/>
              <a:cs typeface="Calibri"/>
            </a:rPr>
            <a:pPr/>
            <a:t>488</a:t>
          </a:fld>
          <a:endParaRPr lang="en-IN" sz="3600" b="1"/>
        </a:p>
      </xdr:txBody>
    </xdr:sp>
    <xdr:clientData/>
  </xdr:twoCellAnchor>
  <xdr:twoCellAnchor editAs="oneCell">
    <xdr:from>
      <xdr:col>2</xdr:col>
      <xdr:colOff>187409</xdr:colOff>
      <xdr:row>13</xdr:row>
      <xdr:rowOff>153896</xdr:rowOff>
    </xdr:from>
    <xdr:to>
      <xdr:col>2</xdr:col>
      <xdr:colOff>578698</xdr:colOff>
      <xdr:row>15</xdr:row>
      <xdr:rowOff>176991</xdr:rowOff>
    </xdr:to>
    <xdr:pic>
      <xdr:nvPicPr>
        <xdr:cNvPr id="27" name="Graphic 26" descr="User with solid fill">
          <a:extLst>
            <a:ext uri="{FF2B5EF4-FFF2-40B4-BE49-F238E27FC236}">
              <a16:creationId xmlns:a16="http://schemas.microsoft.com/office/drawing/2014/main" id="{7160B9DF-B17D-45CA-9544-60FFF9D18E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6609" y="2531336"/>
          <a:ext cx="391289" cy="388855"/>
        </a:xfrm>
        <a:prstGeom prst="rect">
          <a:avLst/>
        </a:prstGeom>
      </xdr:spPr>
    </xdr:pic>
    <xdr:clientData/>
  </xdr:twoCellAnchor>
  <xdr:twoCellAnchor editAs="oneCell">
    <xdr:from>
      <xdr:col>13</xdr:col>
      <xdr:colOff>54587</xdr:colOff>
      <xdr:row>14</xdr:row>
      <xdr:rowOff>31750</xdr:rowOff>
    </xdr:from>
    <xdr:to>
      <xdr:col>14</xdr:col>
      <xdr:colOff>508001</xdr:colOff>
      <xdr:row>35</xdr:row>
      <xdr:rowOff>63500</xdr:rowOff>
    </xdr:to>
    <mc:AlternateContent xmlns:mc="http://schemas.openxmlformats.org/markup-compatibility/2006" xmlns:a14="http://schemas.microsoft.com/office/drawing/2010/main">
      <mc:Choice Requires="a14">
        <xdr:graphicFrame macro="">
          <xdr:nvGraphicFramePr>
            <xdr:cNvPr id="33" name="Date (Month)">
              <a:extLst>
                <a:ext uri="{FF2B5EF4-FFF2-40B4-BE49-F238E27FC236}">
                  <a16:creationId xmlns:a16="http://schemas.microsoft.com/office/drawing/2014/main" id="{5F2A04F2-8463-4CAB-99EB-BA7B499347D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950674" y="2660098"/>
              <a:ext cx="1060805" cy="3974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88078</xdr:colOff>
      <xdr:row>17</xdr:row>
      <xdr:rowOff>103908</xdr:rowOff>
    </xdr:from>
    <xdr:to>
      <xdr:col>3</xdr:col>
      <xdr:colOff>284019</xdr:colOff>
      <xdr:row>22</xdr:row>
      <xdr:rowOff>158338</xdr:rowOff>
    </xdr:to>
    <xdr:graphicFrame macro="">
      <xdr:nvGraphicFramePr>
        <xdr:cNvPr id="46" name="Chart 45">
          <a:hlinkClick xmlns:r="http://schemas.openxmlformats.org/officeDocument/2006/relationships" r:id="rId3"/>
          <a:extLst>
            <a:ext uri="{FF2B5EF4-FFF2-40B4-BE49-F238E27FC236}">
              <a16:creationId xmlns:a16="http://schemas.microsoft.com/office/drawing/2014/main" id="{736A8EB8-7538-48CE-89E8-81B9E35CA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214746</xdr:colOff>
      <xdr:row>13</xdr:row>
      <xdr:rowOff>117764</xdr:rowOff>
    </xdr:from>
    <xdr:to>
      <xdr:col>6</xdr:col>
      <xdr:colOff>338744</xdr:colOff>
      <xdr:row>22</xdr:row>
      <xdr:rowOff>60960</xdr:rowOff>
    </xdr:to>
    <xdr:sp macro="" textlink="">
      <xdr:nvSpPr>
        <xdr:cNvPr id="47" name="Rectangle 46">
          <a:extLst>
            <a:ext uri="{FF2B5EF4-FFF2-40B4-BE49-F238E27FC236}">
              <a16:creationId xmlns:a16="http://schemas.microsoft.com/office/drawing/2014/main" id="{C36C496D-A747-E0CF-C927-077B3DA13BE9}"/>
            </a:ext>
          </a:extLst>
        </xdr:cNvPr>
        <xdr:cNvSpPr/>
      </xdr:nvSpPr>
      <xdr:spPr>
        <a:xfrm>
          <a:off x="2043546" y="2495204"/>
          <a:ext cx="1952798" cy="15891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273333</xdr:colOff>
      <xdr:row>16</xdr:row>
      <xdr:rowOff>21772</xdr:rowOff>
    </xdr:from>
    <xdr:to>
      <xdr:col>6</xdr:col>
      <xdr:colOff>239487</xdr:colOff>
      <xdr:row>18</xdr:row>
      <xdr:rowOff>60316</xdr:rowOff>
    </xdr:to>
    <xdr:sp macro="" textlink="">
      <xdr:nvSpPr>
        <xdr:cNvPr id="48" name="TextBox 47">
          <a:extLst>
            <a:ext uri="{FF2B5EF4-FFF2-40B4-BE49-F238E27FC236}">
              <a16:creationId xmlns:a16="http://schemas.microsoft.com/office/drawing/2014/main" id="{9C2DA7EE-E1A7-08B4-1948-F78A4F64AD11}"/>
            </a:ext>
          </a:extLst>
        </xdr:cNvPr>
        <xdr:cNvSpPr txBox="1"/>
      </xdr:nvSpPr>
      <xdr:spPr>
        <a:xfrm>
          <a:off x="2102133" y="2903517"/>
          <a:ext cx="1794954" cy="398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a:solidFill>
                <a:schemeClr val="dk1"/>
              </a:solidFill>
            </a:rPr>
            <a:t>Average</a:t>
          </a:r>
          <a:r>
            <a:rPr lang="en-IN" sz="1800" baseline="0">
              <a:solidFill>
                <a:schemeClr val="dk1"/>
              </a:solidFill>
            </a:rPr>
            <a:t> Wait Time</a:t>
          </a:r>
          <a:endParaRPr lang="en-IN" sz="1800">
            <a:solidFill>
              <a:schemeClr val="tx1"/>
            </a:solidFill>
          </a:endParaRPr>
        </a:p>
      </xdr:txBody>
    </xdr:sp>
    <xdr:clientData/>
  </xdr:twoCellAnchor>
  <xdr:twoCellAnchor>
    <xdr:from>
      <xdr:col>3</xdr:col>
      <xdr:colOff>523403</xdr:colOff>
      <xdr:row>14</xdr:row>
      <xdr:rowOff>33650</xdr:rowOff>
    </xdr:from>
    <xdr:to>
      <xdr:col>5</xdr:col>
      <xdr:colOff>574963</xdr:colOff>
      <xdr:row>16</xdr:row>
      <xdr:rowOff>55420</xdr:rowOff>
    </xdr:to>
    <xdr:sp macro="" textlink="pivotreport!A13">
      <xdr:nvSpPr>
        <xdr:cNvPr id="49" name="TextBox 48">
          <a:extLst>
            <a:ext uri="{FF2B5EF4-FFF2-40B4-BE49-F238E27FC236}">
              <a16:creationId xmlns:a16="http://schemas.microsoft.com/office/drawing/2014/main" id="{6AEF5BED-B3B0-7637-E86B-1CEBD399D2AF}"/>
            </a:ext>
          </a:extLst>
        </xdr:cNvPr>
        <xdr:cNvSpPr txBox="1"/>
      </xdr:nvSpPr>
      <xdr:spPr>
        <a:xfrm>
          <a:off x="2352203" y="2555177"/>
          <a:ext cx="1270760" cy="381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74939F2-7403-4775-B9B5-BBEBBC16ACBA}" type="TxLink">
            <a:rPr lang="en-US" sz="2400" b="1" i="0" u="none" strike="noStrike">
              <a:solidFill>
                <a:srgbClr val="000000"/>
              </a:solidFill>
              <a:effectLst/>
              <a:latin typeface="Calibri"/>
              <a:ea typeface="Calibri"/>
              <a:cs typeface="Calibri"/>
            </a:rPr>
            <a:pPr/>
            <a:t>35.20</a:t>
          </a:fld>
          <a:endParaRPr lang="en-IN" sz="4800" b="1"/>
        </a:p>
      </xdr:txBody>
    </xdr:sp>
    <xdr:clientData/>
  </xdr:twoCellAnchor>
  <xdr:twoCellAnchor editAs="oneCell">
    <xdr:from>
      <xdr:col>5</xdr:col>
      <xdr:colOff>471127</xdr:colOff>
      <xdr:row>13</xdr:row>
      <xdr:rowOff>151044</xdr:rowOff>
    </xdr:from>
    <xdr:to>
      <xdr:col>6</xdr:col>
      <xdr:colOff>346709</xdr:colOff>
      <xdr:row>16</xdr:row>
      <xdr:rowOff>88698</xdr:rowOff>
    </xdr:to>
    <xdr:pic>
      <xdr:nvPicPr>
        <xdr:cNvPr id="50" name="Graphic 49" descr="Clock with solid fill">
          <a:extLst>
            <a:ext uri="{FF2B5EF4-FFF2-40B4-BE49-F238E27FC236}">
              <a16:creationId xmlns:a16="http://schemas.microsoft.com/office/drawing/2014/main" id="{19346C9A-3BAE-499E-95D3-C53D3EB99E6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34838" y="2499889"/>
          <a:ext cx="488325" cy="479696"/>
        </a:xfrm>
        <a:prstGeom prst="rect">
          <a:avLst/>
        </a:prstGeom>
      </xdr:spPr>
    </xdr:pic>
    <xdr:clientData/>
  </xdr:twoCellAnchor>
  <xdr:twoCellAnchor editAs="absolute">
    <xdr:from>
      <xdr:col>6</xdr:col>
      <xdr:colOff>434092</xdr:colOff>
      <xdr:row>13</xdr:row>
      <xdr:rowOff>120224</xdr:rowOff>
    </xdr:from>
    <xdr:to>
      <xdr:col>9</xdr:col>
      <xdr:colOff>558387</xdr:colOff>
      <xdr:row>22</xdr:row>
      <xdr:rowOff>55228</xdr:rowOff>
    </xdr:to>
    <xdr:sp macro="" textlink="">
      <xdr:nvSpPr>
        <xdr:cNvPr id="51" name="Rectangle: Rounded Corners 50">
          <a:extLst>
            <a:ext uri="{FF2B5EF4-FFF2-40B4-BE49-F238E27FC236}">
              <a16:creationId xmlns:a16="http://schemas.microsoft.com/office/drawing/2014/main" id="{51459948-ADB8-45BC-AAA3-7842AC9B914C}"/>
            </a:ext>
          </a:extLst>
        </xdr:cNvPr>
        <xdr:cNvSpPr/>
      </xdr:nvSpPr>
      <xdr:spPr>
        <a:xfrm>
          <a:off x="4110546" y="2469069"/>
          <a:ext cx="1962521" cy="1561128"/>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201781</xdr:colOff>
      <xdr:row>14</xdr:row>
      <xdr:rowOff>70815</xdr:rowOff>
    </xdr:from>
    <xdr:to>
      <xdr:col>8</xdr:col>
      <xdr:colOff>569273</xdr:colOff>
      <xdr:row>16</xdr:row>
      <xdr:rowOff>112306</xdr:rowOff>
    </xdr:to>
    <xdr:sp macro="" textlink="pivotreport!A22">
      <xdr:nvSpPr>
        <xdr:cNvPr id="52" name="TextBox 51">
          <a:extLst>
            <a:ext uri="{FF2B5EF4-FFF2-40B4-BE49-F238E27FC236}">
              <a16:creationId xmlns:a16="http://schemas.microsoft.com/office/drawing/2014/main" id="{62481F24-8DAD-1EFE-C64D-FE9CD7AC6960}"/>
            </a:ext>
          </a:extLst>
        </xdr:cNvPr>
        <xdr:cNvSpPr txBox="1"/>
      </xdr:nvSpPr>
      <xdr:spPr>
        <a:xfrm>
          <a:off x="4490977" y="2600341"/>
          <a:ext cx="980234" cy="402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fld id="{25D12E46-0E91-4562-B2E7-879170596B1A}" type="TxLink">
            <a:rPr lang="en-US" sz="2400" b="1" i="0" u="none" strike="noStrike">
              <a:solidFill>
                <a:srgbClr val="000000"/>
              </a:solidFill>
              <a:effectLst/>
              <a:latin typeface="Calibri"/>
              <a:ea typeface="Calibri"/>
              <a:cs typeface="Calibri"/>
            </a:rPr>
            <a:pPr/>
            <a:t>4.79</a:t>
          </a:fld>
          <a:endParaRPr lang="en-IN" sz="4400" b="1"/>
        </a:p>
      </xdr:txBody>
    </xdr:sp>
    <xdr:clientData/>
  </xdr:twoCellAnchor>
  <xdr:twoCellAnchor editAs="absolute">
    <xdr:from>
      <xdr:col>6</xdr:col>
      <xdr:colOff>511630</xdr:colOff>
      <xdr:row>16</xdr:row>
      <xdr:rowOff>109979</xdr:rowOff>
    </xdr:from>
    <xdr:to>
      <xdr:col>9</xdr:col>
      <xdr:colOff>445080</xdr:colOff>
      <xdr:row>18</xdr:row>
      <xdr:rowOff>100452</xdr:rowOff>
    </xdr:to>
    <xdr:sp macro="" textlink="">
      <xdr:nvSpPr>
        <xdr:cNvPr id="53" name="TextBox 52">
          <a:extLst>
            <a:ext uri="{FF2B5EF4-FFF2-40B4-BE49-F238E27FC236}">
              <a16:creationId xmlns:a16="http://schemas.microsoft.com/office/drawing/2014/main" id="{A2BFBDCE-B09E-D0A9-BB4E-553BE06A44F0}"/>
            </a:ext>
          </a:extLst>
        </xdr:cNvPr>
        <xdr:cNvSpPr txBox="1"/>
      </xdr:nvSpPr>
      <xdr:spPr>
        <a:xfrm>
          <a:off x="4188084" y="3000866"/>
          <a:ext cx="1771676" cy="351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a:solidFill>
                <a:schemeClr val="tx1"/>
              </a:solidFill>
            </a:rPr>
            <a:t>Satisfaction</a:t>
          </a:r>
          <a:r>
            <a:rPr lang="en-IN" sz="1800" baseline="0">
              <a:solidFill>
                <a:schemeClr val="tx1"/>
              </a:solidFill>
            </a:rPr>
            <a:t> Score</a:t>
          </a:r>
          <a:endParaRPr lang="en-IN" sz="1800">
            <a:solidFill>
              <a:schemeClr val="tx1"/>
            </a:solidFill>
          </a:endParaRPr>
        </a:p>
      </xdr:txBody>
    </xdr:sp>
    <xdr:clientData/>
  </xdr:twoCellAnchor>
  <xdr:twoCellAnchor editAs="oneCell">
    <xdr:from>
      <xdr:col>9</xdr:col>
      <xdr:colOff>60268</xdr:colOff>
      <xdr:row>14</xdr:row>
      <xdr:rowOff>57106</xdr:rowOff>
    </xdr:from>
    <xdr:to>
      <xdr:col>9</xdr:col>
      <xdr:colOff>453044</xdr:colOff>
      <xdr:row>16</xdr:row>
      <xdr:rowOff>87586</xdr:rowOff>
    </xdr:to>
    <xdr:pic>
      <xdr:nvPicPr>
        <xdr:cNvPr id="54" name="Graphic 53" descr="Subtitles with solid fill">
          <a:extLst>
            <a:ext uri="{FF2B5EF4-FFF2-40B4-BE49-F238E27FC236}">
              <a16:creationId xmlns:a16="http://schemas.microsoft.com/office/drawing/2014/main" id="{CCEF9EB3-1993-7054-055E-3C5D703D2D6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74948" y="2586632"/>
          <a:ext cx="392776" cy="391841"/>
        </a:xfrm>
        <a:prstGeom prst="rect">
          <a:avLst/>
        </a:prstGeom>
      </xdr:spPr>
    </xdr:pic>
    <xdr:clientData/>
  </xdr:twoCellAnchor>
  <xdr:twoCellAnchor>
    <xdr:from>
      <xdr:col>5</xdr:col>
      <xdr:colOff>342900</xdr:colOff>
      <xdr:row>0</xdr:row>
      <xdr:rowOff>83819</xdr:rowOff>
    </xdr:from>
    <xdr:to>
      <xdr:col>14</xdr:col>
      <xdr:colOff>518160</xdr:colOff>
      <xdr:row>5</xdr:row>
      <xdr:rowOff>-1</xdr:rowOff>
    </xdr:to>
    <xdr:sp macro="" textlink="">
      <xdr:nvSpPr>
        <xdr:cNvPr id="55" name="Rectangle: Rounded Corners 54">
          <a:extLst>
            <a:ext uri="{FF2B5EF4-FFF2-40B4-BE49-F238E27FC236}">
              <a16:creationId xmlns:a16="http://schemas.microsoft.com/office/drawing/2014/main" id="{D5D4DF32-9ADA-7E2E-9188-6762B04BA90D}"/>
            </a:ext>
          </a:extLst>
        </xdr:cNvPr>
        <xdr:cNvSpPr/>
      </xdr:nvSpPr>
      <xdr:spPr>
        <a:xfrm>
          <a:off x="3407465" y="83819"/>
          <a:ext cx="5691478" cy="827267"/>
        </a:xfrm>
        <a:prstGeom prst="roundRect">
          <a:avLst>
            <a:gd name="adj" fmla="val 16372"/>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357146</xdr:colOff>
      <xdr:row>1</xdr:row>
      <xdr:rowOff>3314</xdr:rowOff>
    </xdr:from>
    <xdr:to>
      <xdr:col>15</xdr:col>
      <xdr:colOff>303806</xdr:colOff>
      <xdr:row>3</xdr:row>
      <xdr:rowOff>71231</xdr:rowOff>
    </xdr:to>
    <xdr:sp macro="" textlink="">
      <xdr:nvSpPr>
        <xdr:cNvPr id="56" name="TextBox 55">
          <a:extLst>
            <a:ext uri="{FF2B5EF4-FFF2-40B4-BE49-F238E27FC236}">
              <a16:creationId xmlns:a16="http://schemas.microsoft.com/office/drawing/2014/main" id="{768E521C-479C-80A5-4271-C72FCEA4B1D8}"/>
            </a:ext>
          </a:extLst>
        </xdr:cNvPr>
        <xdr:cNvSpPr txBox="1"/>
      </xdr:nvSpPr>
      <xdr:spPr>
        <a:xfrm>
          <a:off x="4034624" y="185531"/>
          <a:ext cx="5462878" cy="432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1">
              <a:solidFill>
                <a:schemeClr val="tx1">
                  <a:lumMod val="95000"/>
                  <a:lumOff val="5000"/>
                </a:schemeClr>
              </a:solidFill>
            </a:rPr>
            <a:t> </a:t>
          </a:r>
          <a:r>
            <a:rPr lang="en-IN" sz="1600" b="1">
              <a:solidFill>
                <a:schemeClr val="tx1">
                  <a:lumMod val="95000"/>
                  <a:lumOff val="5000"/>
                </a:schemeClr>
              </a:solidFill>
              <a:latin typeface="Arial Black" panose="020B0A04020102020204" pitchFamily="34" charset="0"/>
            </a:rPr>
            <a:t>HOSPITAL EMERGENCY ROOM DASHBOARD</a:t>
          </a:r>
          <a:endParaRPr lang="en-IN" sz="2000" b="1">
            <a:solidFill>
              <a:schemeClr val="tx1">
                <a:lumMod val="95000"/>
                <a:lumOff val="5000"/>
              </a:schemeClr>
            </a:solidFill>
            <a:latin typeface="Arial Black" panose="020B0A04020102020204" pitchFamily="34" charset="0"/>
          </a:endParaRPr>
        </a:p>
      </xdr:txBody>
    </xdr:sp>
    <xdr:clientData/>
  </xdr:twoCellAnchor>
  <xdr:twoCellAnchor editAs="oneCell">
    <xdr:from>
      <xdr:col>5</xdr:col>
      <xdr:colOff>341574</xdr:colOff>
      <xdr:row>0</xdr:row>
      <xdr:rowOff>120925</xdr:rowOff>
    </xdr:from>
    <xdr:to>
      <xdr:col>6</xdr:col>
      <xdr:colOff>463826</xdr:colOff>
      <xdr:row>4</xdr:row>
      <xdr:rowOff>120940</xdr:rowOff>
    </xdr:to>
    <xdr:pic>
      <xdr:nvPicPr>
        <xdr:cNvPr id="57" name="Graphic 56" descr="Medical with solid fill">
          <a:extLst>
            <a:ext uri="{FF2B5EF4-FFF2-40B4-BE49-F238E27FC236}">
              <a16:creationId xmlns:a16="http://schemas.microsoft.com/office/drawing/2014/main" id="{54ADED79-C170-F2EC-A048-5FDBB9AF115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06139" y="120925"/>
          <a:ext cx="735165" cy="728885"/>
        </a:xfrm>
        <a:prstGeom prst="rect">
          <a:avLst/>
        </a:prstGeom>
      </xdr:spPr>
    </xdr:pic>
    <xdr:clientData/>
  </xdr:twoCellAnchor>
  <xdr:twoCellAnchor editAs="absolute">
    <xdr:from>
      <xdr:col>0</xdr:col>
      <xdr:colOff>95135</xdr:colOff>
      <xdr:row>6</xdr:row>
      <xdr:rowOff>125615</xdr:rowOff>
    </xdr:from>
    <xdr:to>
      <xdr:col>7</xdr:col>
      <xdr:colOff>319760</xdr:colOff>
      <xdr:row>13</xdr:row>
      <xdr:rowOff>15719</xdr:rowOff>
    </xdr:to>
    <xdr:sp macro="" textlink="">
      <xdr:nvSpPr>
        <xdr:cNvPr id="58" name="Rectangle: Rounded Corners 57">
          <a:extLst>
            <a:ext uri="{FF2B5EF4-FFF2-40B4-BE49-F238E27FC236}">
              <a16:creationId xmlns:a16="http://schemas.microsoft.com/office/drawing/2014/main" id="{FE340EB5-4CE8-47AC-89C4-8F69C1FA5651}"/>
            </a:ext>
          </a:extLst>
        </xdr:cNvPr>
        <xdr:cNvSpPr/>
      </xdr:nvSpPr>
      <xdr:spPr>
        <a:xfrm>
          <a:off x="95135" y="1233979"/>
          <a:ext cx="4507989" cy="1183195"/>
        </a:xfrm>
        <a:prstGeom prst="roundRect">
          <a:avLst>
            <a:gd name="adj" fmla="val 434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198120</xdr:colOff>
      <xdr:row>17</xdr:row>
      <xdr:rowOff>91440</xdr:rowOff>
    </xdr:from>
    <xdr:to>
      <xdr:col>6</xdr:col>
      <xdr:colOff>320040</xdr:colOff>
      <xdr:row>22</xdr:row>
      <xdr:rowOff>60960</xdr:rowOff>
    </xdr:to>
    <xdr:graphicFrame macro="">
      <xdr:nvGraphicFramePr>
        <xdr:cNvPr id="59" name="Chart 58">
          <a:hlinkClick xmlns:r="http://schemas.openxmlformats.org/officeDocument/2006/relationships" r:id="rId11"/>
          <a:extLst>
            <a:ext uri="{FF2B5EF4-FFF2-40B4-BE49-F238E27FC236}">
              <a16:creationId xmlns:a16="http://schemas.microsoft.com/office/drawing/2014/main" id="{70B5F514-8581-4AD6-8371-688B0BF54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441960</xdr:colOff>
      <xdr:row>18</xdr:row>
      <xdr:rowOff>47998</xdr:rowOff>
    </xdr:from>
    <xdr:to>
      <xdr:col>9</xdr:col>
      <xdr:colOff>563880</xdr:colOff>
      <xdr:row>22</xdr:row>
      <xdr:rowOff>63238</xdr:rowOff>
    </xdr:to>
    <xdr:graphicFrame macro="">
      <xdr:nvGraphicFramePr>
        <xdr:cNvPr id="61" name="Chart 60">
          <a:hlinkClick xmlns:r="http://schemas.openxmlformats.org/officeDocument/2006/relationships" r:id="rId13"/>
          <a:extLst>
            <a:ext uri="{FF2B5EF4-FFF2-40B4-BE49-F238E27FC236}">
              <a16:creationId xmlns:a16="http://schemas.microsoft.com/office/drawing/2014/main" id="{E66A95B3-45AC-4DA1-8F51-7612117F3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430696</xdr:colOff>
      <xdr:row>2</xdr:row>
      <xdr:rowOff>115956</xdr:rowOff>
    </xdr:from>
    <xdr:to>
      <xdr:col>13</xdr:col>
      <xdr:colOff>149086</xdr:colOff>
      <xdr:row>5</xdr:row>
      <xdr:rowOff>16565</xdr:rowOff>
    </xdr:to>
    <xdr:sp macro="" textlink="">
      <xdr:nvSpPr>
        <xdr:cNvPr id="62" name="TextBox 61">
          <a:extLst>
            <a:ext uri="{FF2B5EF4-FFF2-40B4-BE49-F238E27FC236}">
              <a16:creationId xmlns:a16="http://schemas.microsoft.com/office/drawing/2014/main" id="{454826C1-87A2-C888-69CB-1953D849617B}"/>
            </a:ext>
          </a:extLst>
        </xdr:cNvPr>
        <xdr:cNvSpPr txBox="1"/>
      </xdr:nvSpPr>
      <xdr:spPr>
        <a:xfrm>
          <a:off x="5946913" y="480391"/>
          <a:ext cx="2170043" cy="447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Monthly Report</a:t>
          </a:r>
        </a:p>
      </xdr:txBody>
    </xdr:sp>
    <xdr:clientData/>
  </xdr:twoCellAnchor>
  <mc:AlternateContent xmlns:mc="http://schemas.openxmlformats.org/markup-compatibility/2006">
    <mc:Choice xmlns:a14="http://schemas.microsoft.com/office/drawing/2010/main" Requires="a14">
      <xdr:twoCellAnchor editAs="oneCell">
        <xdr:from>
          <xdr:col>0</xdr:col>
          <xdr:colOff>115455</xdr:colOff>
          <xdr:row>6</xdr:row>
          <xdr:rowOff>161635</xdr:rowOff>
        </xdr:from>
        <xdr:to>
          <xdr:col>7</xdr:col>
          <xdr:colOff>311727</xdr:colOff>
          <xdr:row>13</xdr:row>
          <xdr:rowOff>0</xdr:rowOff>
        </xdr:to>
        <xdr:pic>
          <xdr:nvPicPr>
            <xdr:cNvPr id="71" name="Picture 70">
              <a:extLst>
                <a:ext uri="{FF2B5EF4-FFF2-40B4-BE49-F238E27FC236}">
                  <a16:creationId xmlns:a16="http://schemas.microsoft.com/office/drawing/2014/main" id="{5A592313-5E19-E1D9-B52B-2A71EC9C1DB3}"/>
                </a:ext>
              </a:extLst>
            </xdr:cNvPr>
            <xdr:cNvPicPr>
              <a:picLocks noChangeAspect="1" noChangeArrowheads="1"/>
              <a:extLst>
                <a:ext uri="{84589F7E-364E-4C9E-8A38-B11213B215E9}">
                  <a14:cameraTool cellRange="pivotreport!$K$28:$N$30" spid="_x0000_s3087"/>
                </a:ext>
              </a:extLst>
            </xdr:cNvPicPr>
          </xdr:nvPicPr>
          <xdr:blipFill>
            <a:blip xmlns:r="http://schemas.openxmlformats.org/officeDocument/2006/relationships" r:embed="rId15"/>
            <a:srcRect/>
            <a:stretch>
              <a:fillRect/>
            </a:stretch>
          </xdr:blipFill>
          <xdr:spPr bwMode="auto">
            <a:xfrm>
              <a:off x="115455" y="1269999"/>
              <a:ext cx="4479636" cy="113145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404090</xdr:colOff>
      <xdr:row>5</xdr:row>
      <xdr:rowOff>92362</xdr:rowOff>
    </xdr:from>
    <xdr:to>
      <xdr:col>14</xdr:col>
      <xdr:colOff>496454</xdr:colOff>
      <xdr:row>12</xdr:row>
      <xdr:rowOff>46182</xdr:rowOff>
    </xdr:to>
    <xdr:graphicFrame macro="">
      <xdr:nvGraphicFramePr>
        <xdr:cNvPr id="72" name="Chart 71">
          <a:extLst>
            <a:ext uri="{FF2B5EF4-FFF2-40B4-BE49-F238E27FC236}">
              <a16:creationId xmlns:a16="http://schemas.microsoft.com/office/drawing/2014/main" id="{FB7B1741-76E3-42EC-8ABF-401CE4640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9</xdr:col>
      <xdr:colOff>578262</xdr:colOff>
      <xdr:row>11</xdr:row>
      <xdr:rowOff>167901</xdr:rowOff>
    </xdr:from>
    <xdr:to>
      <xdr:col>14</xdr:col>
      <xdr:colOff>230909</xdr:colOff>
      <xdr:row>14</xdr:row>
      <xdr:rowOff>76197</xdr:rowOff>
    </xdr:to>
    <xdr:sp macro="" textlink="">
      <xdr:nvSpPr>
        <xdr:cNvPr id="73" name="TextBox 72">
          <a:extLst>
            <a:ext uri="{FF2B5EF4-FFF2-40B4-BE49-F238E27FC236}">
              <a16:creationId xmlns:a16="http://schemas.microsoft.com/office/drawing/2014/main" id="{B670AB11-DFD7-4981-9109-8EAA51225F18}"/>
            </a:ext>
          </a:extLst>
        </xdr:cNvPr>
        <xdr:cNvSpPr txBox="1"/>
      </xdr:nvSpPr>
      <xdr:spPr>
        <a:xfrm>
          <a:off x="6085444" y="2199901"/>
          <a:ext cx="2712192" cy="462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t>No. of </a:t>
          </a:r>
          <a:r>
            <a:rPr lang="en-IN" sz="1400" b="1">
              <a:solidFill>
                <a:schemeClr val="tx1"/>
              </a:solidFill>
            </a:rPr>
            <a:t>Patient by A ge Group</a:t>
          </a:r>
        </a:p>
      </xdr:txBody>
    </xdr:sp>
    <xdr:clientData/>
  </xdr:twoCellAnchor>
  <xdr:twoCellAnchor>
    <xdr:from>
      <xdr:col>9</xdr:col>
      <xdr:colOff>592667</xdr:colOff>
      <xdr:row>25</xdr:row>
      <xdr:rowOff>105833</xdr:rowOff>
    </xdr:from>
    <xdr:to>
      <xdr:col>12</xdr:col>
      <xdr:colOff>423335</xdr:colOff>
      <xdr:row>33</xdr:row>
      <xdr:rowOff>116417</xdr:rowOff>
    </xdr:to>
    <xdr:graphicFrame macro="">
      <xdr:nvGraphicFramePr>
        <xdr:cNvPr id="74" name="Chart 73">
          <a:extLst>
            <a:ext uri="{FF2B5EF4-FFF2-40B4-BE49-F238E27FC236}">
              <a16:creationId xmlns:a16="http://schemas.microsoft.com/office/drawing/2014/main" id="{ADB93CF5-948F-4303-96BC-040CD648B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101601</xdr:colOff>
      <xdr:row>33</xdr:row>
      <xdr:rowOff>146050</xdr:rowOff>
    </xdr:from>
    <xdr:to>
      <xdr:col>14</xdr:col>
      <xdr:colOff>120650</xdr:colOff>
      <xdr:row>35</xdr:row>
      <xdr:rowOff>50800</xdr:rowOff>
    </xdr:to>
    <xdr:sp macro="" textlink="">
      <xdr:nvSpPr>
        <xdr:cNvPr id="77" name="TextBox 76">
          <a:extLst>
            <a:ext uri="{FF2B5EF4-FFF2-40B4-BE49-F238E27FC236}">
              <a16:creationId xmlns:a16="http://schemas.microsoft.com/office/drawing/2014/main" id="{69DCC830-B58F-138C-F67B-2A6575079818}"/>
            </a:ext>
          </a:extLst>
        </xdr:cNvPr>
        <xdr:cNvSpPr txBox="1"/>
      </xdr:nvSpPr>
      <xdr:spPr>
        <a:xfrm>
          <a:off x="6239934" y="6083300"/>
          <a:ext cx="2474383"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Patient attended on </a:t>
          </a:r>
          <a:r>
            <a:rPr lang="en-IN" sz="1050" b="1"/>
            <a:t>time</a:t>
          </a:r>
          <a:endParaRPr lang="en-IN" sz="1600" b="1"/>
        </a:p>
      </xdr:txBody>
    </xdr:sp>
    <xdr:clientData/>
  </xdr:twoCellAnchor>
  <xdr:twoCellAnchor>
    <xdr:from>
      <xdr:col>9</xdr:col>
      <xdr:colOff>418044</xdr:colOff>
      <xdr:row>13</xdr:row>
      <xdr:rowOff>116414</xdr:rowOff>
    </xdr:from>
    <xdr:to>
      <xdr:col>12</xdr:col>
      <xdr:colOff>455086</xdr:colOff>
      <xdr:row>24</xdr:row>
      <xdr:rowOff>95250</xdr:rowOff>
    </xdr:to>
    <xdr:graphicFrame macro="">
      <xdr:nvGraphicFramePr>
        <xdr:cNvPr id="78" name="Chart 77">
          <a:extLst>
            <a:ext uri="{FF2B5EF4-FFF2-40B4-BE49-F238E27FC236}">
              <a16:creationId xmlns:a16="http://schemas.microsoft.com/office/drawing/2014/main" id="{ECF3868A-53E0-4D44-985C-F10AA9F59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253999</xdr:colOff>
      <xdr:row>1</xdr:row>
      <xdr:rowOff>15875</xdr:rowOff>
    </xdr:from>
    <xdr:to>
      <xdr:col>5</xdr:col>
      <xdr:colOff>79375</xdr:colOff>
      <xdr:row>5</xdr:row>
      <xdr:rowOff>142875</xdr:rowOff>
    </xdr:to>
    <mc:AlternateContent xmlns:mc="http://schemas.openxmlformats.org/markup-compatibility/2006" xmlns:a14="http://schemas.microsoft.com/office/drawing/2010/main">
      <mc:Choice Requires="a14">
        <xdr:graphicFrame macro="">
          <xdr:nvGraphicFramePr>
            <xdr:cNvPr id="81" name="Date (Year)">
              <a:extLst>
                <a:ext uri="{FF2B5EF4-FFF2-40B4-BE49-F238E27FC236}">
                  <a16:creationId xmlns:a16="http://schemas.microsoft.com/office/drawing/2014/main" id="{6B04C36C-D579-4C82-8549-C8A8AF14C01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53999" y="203614"/>
              <a:ext cx="2862333" cy="877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115455</xdr:colOff>
      <xdr:row>23</xdr:row>
      <xdr:rowOff>0</xdr:rowOff>
    </xdr:from>
    <xdr:to>
      <xdr:col>9</xdr:col>
      <xdr:colOff>558387</xdr:colOff>
      <xdr:row>35</xdr:row>
      <xdr:rowOff>95250</xdr:rowOff>
    </xdr:to>
    <xdr:graphicFrame macro="">
      <xdr:nvGraphicFramePr>
        <xdr:cNvPr id="82" name="Chart 1">
          <a:extLst>
            <a:ext uri="{FF2B5EF4-FFF2-40B4-BE49-F238E27FC236}">
              <a16:creationId xmlns:a16="http://schemas.microsoft.com/office/drawing/2014/main" id="{7669EDCD-0C05-3C69-8484-0FD7FA7E3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0.18649</cdr:x>
      <cdr:y>0.82008</cdr:y>
    </cdr:from>
    <cdr:to>
      <cdr:x>0.86495</cdr:x>
      <cdr:y>0.92469</cdr:y>
    </cdr:to>
    <cdr:sp macro="" textlink="">
      <cdr:nvSpPr>
        <cdr:cNvPr id="2" name="TextBox 1">
          <a:extLst xmlns:a="http://schemas.openxmlformats.org/drawingml/2006/main">
            <a:ext uri="{FF2B5EF4-FFF2-40B4-BE49-F238E27FC236}">
              <a16:creationId xmlns:a16="http://schemas.microsoft.com/office/drawing/2014/main" id="{C3E22080-F4E9-8247-8940-ECBEB6CDCB7E}"/>
            </a:ext>
          </a:extLst>
        </cdr:cNvPr>
        <cdr:cNvSpPr txBox="1"/>
      </cdr:nvSpPr>
      <cdr:spPr>
        <a:xfrm xmlns:a="http://schemas.openxmlformats.org/drawingml/2006/main">
          <a:off x="552449" y="1866900"/>
          <a:ext cx="2009775"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0.19614</cdr:x>
      <cdr:y>0.8787</cdr:y>
    </cdr:from>
    <cdr:to>
      <cdr:x>1</cdr:x>
      <cdr:y>1</cdr:y>
    </cdr:to>
    <cdr:sp macro="" textlink="">
      <cdr:nvSpPr>
        <cdr:cNvPr id="3" name="TextBox 2">
          <a:extLst xmlns:a="http://schemas.openxmlformats.org/drawingml/2006/main">
            <a:ext uri="{FF2B5EF4-FFF2-40B4-BE49-F238E27FC236}">
              <a16:creationId xmlns:a16="http://schemas.microsoft.com/office/drawing/2014/main" id="{A3672645-3127-5237-70CE-8CF613E7A7AE}"/>
            </a:ext>
          </a:extLst>
        </cdr:cNvPr>
        <cdr:cNvSpPr txBox="1"/>
      </cdr:nvSpPr>
      <cdr:spPr>
        <a:xfrm xmlns:a="http://schemas.openxmlformats.org/drawingml/2006/main">
          <a:off x="368460" y="1515826"/>
          <a:ext cx="1510082" cy="20925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Gender Wise Analysis</a:t>
          </a:r>
        </a:p>
      </cdr:txBody>
    </cdr:sp>
  </cdr:relSizeAnchor>
</c:userShapes>
</file>

<file path=xl/drawings/drawing4.xml><?xml version="1.0" encoding="utf-8"?>
<c:userShapes xmlns:c="http://schemas.openxmlformats.org/drawingml/2006/chart">
  <cdr:relSizeAnchor xmlns:cdr="http://schemas.openxmlformats.org/drawingml/2006/chartDrawing">
    <cdr:from>
      <cdr:x>0.18905</cdr:x>
      <cdr:y>0.0039</cdr:y>
    </cdr:from>
    <cdr:to>
      <cdr:x>0.7007</cdr:x>
      <cdr:y>0.15493</cdr:y>
    </cdr:to>
    <cdr:sp macro="" textlink="">
      <cdr:nvSpPr>
        <cdr:cNvPr id="2" name="TextBox 1">
          <a:extLst xmlns:a="http://schemas.openxmlformats.org/drawingml/2006/main">
            <a:ext uri="{FF2B5EF4-FFF2-40B4-BE49-F238E27FC236}">
              <a16:creationId xmlns:a16="http://schemas.microsoft.com/office/drawing/2014/main" id="{0F741BD0-6CD4-9E7A-F8AD-8075851E580F}"/>
            </a:ext>
          </a:extLst>
        </cdr:cNvPr>
        <cdr:cNvSpPr txBox="1"/>
      </cdr:nvSpPr>
      <cdr:spPr>
        <a:xfrm xmlns:a="http://schemas.openxmlformats.org/drawingml/2006/main">
          <a:off x="1128116" y="8795"/>
          <a:ext cx="3053262" cy="34045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t>No. of patient by department refferal</a:t>
          </a:r>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576147</xdr:colOff>
      <xdr:row>15</xdr:row>
      <xdr:rowOff>1</xdr:rowOff>
    </xdr:from>
    <xdr:to>
      <xdr:col>12</xdr:col>
      <xdr:colOff>594361</xdr:colOff>
      <xdr:row>36</xdr:row>
      <xdr:rowOff>130097</xdr:rowOff>
    </xdr:to>
    <xdr:graphicFrame macro="">
      <xdr:nvGraphicFramePr>
        <xdr:cNvPr id="3" name="Chart 2">
          <a:extLst>
            <a:ext uri="{FF2B5EF4-FFF2-40B4-BE49-F238E27FC236}">
              <a16:creationId xmlns:a16="http://schemas.microsoft.com/office/drawing/2014/main" id="{34BEB6B7-5593-4A57-A5B5-6627D8225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11206</xdr:colOff>
      <xdr:row>15</xdr:row>
      <xdr:rowOff>33616</xdr:rowOff>
    </xdr:from>
    <xdr:to>
      <xdr:col>3</xdr:col>
      <xdr:colOff>6723</xdr:colOff>
      <xdr:row>18</xdr:row>
      <xdr:rowOff>96369</xdr:rowOff>
    </xdr:to>
    <xdr:pic>
      <xdr:nvPicPr>
        <xdr:cNvPr id="6" name="Graphic 5" descr="Brain in head with solid fill">
          <a:hlinkClick xmlns:r="http://schemas.openxmlformats.org/officeDocument/2006/relationships" r:id="rId2"/>
          <a:extLst>
            <a:ext uri="{FF2B5EF4-FFF2-40B4-BE49-F238E27FC236}">
              <a16:creationId xmlns:a16="http://schemas.microsoft.com/office/drawing/2014/main" id="{81160846-9756-06E3-0F1D-92B656EA2E8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21441" y="2723028"/>
          <a:ext cx="600635" cy="60063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2</xdr:row>
      <xdr:rowOff>129540</xdr:rowOff>
    </xdr:from>
    <xdr:to>
      <xdr:col>18</xdr:col>
      <xdr:colOff>327660</xdr:colOff>
      <xdr:row>21</xdr:row>
      <xdr:rowOff>91440</xdr:rowOff>
    </xdr:to>
    <xdr:graphicFrame macro="">
      <xdr:nvGraphicFramePr>
        <xdr:cNvPr id="2" name="Chart 1">
          <a:extLst>
            <a:ext uri="{FF2B5EF4-FFF2-40B4-BE49-F238E27FC236}">
              <a16:creationId xmlns:a16="http://schemas.microsoft.com/office/drawing/2014/main" id="{CC5D58C5-B5AF-4225-9702-BD74CE144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133684</xdr:colOff>
      <xdr:row>2</xdr:row>
      <xdr:rowOff>147051</xdr:rowOff>
    </xdr:from>
    <xdr:to>
      <xdr:col>1</xdr:col>
      <xdr:colOff>139032</xdr:colOff>
      <xdr:row>6</xdr:row>
      <xdr:rowOff>18715</xdr:rowOff>
    </xdr:to>
    <xdr:pic>
      <xdr:nvPicPr>
        <xdr:cNvPr id="4" name="Graphic 3" descr="Earth globe: Africa and Europe with solid fill">
          <a:hlinkClick xmlns:r="http://schemas.openxmlformats.org/officeDocument/2006/relationships" r:id="rId2"/>
          <a:extLst>
            <a:ext uri="{FF2B5EF4-FFF2-40B4-BE49-F238E27FC236}">
              <a16:creationId xmlns:a16="http://schemas.microsoft.com/office/drawing/2014/main" id="{1B30D0FC-8BD7-68C8-156A-7F27D1C4F0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3684" y="521367"/>
          <a:ext cx="620295" cy="6202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243840</xdr:colOff>
      <xdr:row>3</xdr:row>
      <xdr:rowOff>160020</xdr:rowOff>
    </xdr:from>
    <xdr:to>
      <xdr:col>14</xdr:col>
      <xdr:colOff>441960</xdr:colOff>
      <xdr:row>22</xdr:row>
      <xdr:rowOff>0</xdr:rowOff>
    </xdr:to>
    <xdr:graphicFrame macro="">
      <xdr:nvGraphicFramePr>
        <xdr:cNvPr id="2" name="Chart 1">
          <a:extLst>
            <a:ext uri="{FF2B5EF4-FFF2-40B4-BE49-F238E27FC236}">
              <a16:creationId xmlns:a16="http://schemas.microsoft.com/office/drawing/2014/main" id="{1F1167CD-CA94-4AC7-BA5A-E01E3AEDD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358140</xdr:colOff>
      <xdr:row>4</xdr:row>
      <xdr:rowOff>60960</xdr:rowOff>
    </xdr:from>
    <xdr:to>
      <xdr:col>1</xdr:col>
      <xdr:colOff>297180</xdr:colOff>
      <xdr:row>7</xdr:row>
      <xdr:rowOff>60960</xdr:rowOff>
    </xdr:to>
    <xdr:pic>
      <xdr:nvPicPr>
        <xdr:cNvPr id="4" name="Graphic 3" descr="Chat bubble with solid fill">
          <a:hlinkClick xmlns:r="http://schemas.openxmlformats.org/officeDocument/2006/relationships" r:id="rId2"/>
          <a:extLst>
            <a:ext uri="{FF2B5EF4-FFF2-40B4-BE49-F238E27FC236}">
              <a16:creationId xmlns:a16="http://schemas.microsoft.com/office/drawing/2014/main" id="{F88A44B1-05E5-1B34-79EF-904CE3399C6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8140" y="792480"/>
          <a:ext cx="548640" cy="5486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695138892" createdVersion="5" refreshedVersion="8" minRefreshableVersion="3" recordCount="0" supportSubquery="1" supportAdvancedDrill="1" xr:uid="{070A9415-CC66-456D-A087-3C38372E41CD}">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4"/>
      </sharedItems>
    </cacheField>
  </cacheFields>
  <cacheHierarchies count="38">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2"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2"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695486108" createdVersion="5" refreshedVersion="8" minRefreshableVersion="3" recordCount="0" supportSubquery="1" supportAdvancedDrill="1" xr:uid="{937E5FA5-B9C7-46A6-9FE6-2F17DC359B5E}">
  <cacheSource type="external" connectionId="3"/>
  <cacheFields count="3">
    <cacheField name="[calendar_table].[Date (Month)].[Date (Month)]" caption="Date (Month)" numFmtId="0" hierarchy="1" level="1">
      <sharedItems containsSemiMixedTypes="0" containsNonDate="0" containsString="0"/>
    </cacheField>
    <cacheField name="[Measures].[Distinct Count of Patient Id]" caption="Distinct Count of Patient Id" numFmtId="0" hierarchy="28"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695833331" createdVersion="5" refreshedVersion="8" minRefreshableVersion="3" recordCount="0" supportSubquery="1" supportAdvancedDrill="1" xr:uid="{8F504F14-C47A-4373-8737-4EB615BE010D}">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4"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696180554" createdVersion="5" refreshedVersion="8" minRefreshableVersion="3" recordCount="0" supportSubquery="1" supportAdvancedDrill="1" xr:uid="{C4895E97-27CF-4986-BAD9-70C47F1878F1}">
  <cacheSource type="external" connectionId="3"/>
  <cacheFields count="4">
    <cacheField name="[calendar_table].[Date (Month)].[Date (Month)]" caption="Date (Month)" numFmtId="0" hierarchy="1" level="1">
      <sharedItems containsSemiMixedTypes="0" containsNonDate="0" containsString="0"/>
    </cacheField>
    <cacheField name="[Hospital Emergency Room Data].[Calculated Column 1].[Calculated Column 1]" caption="Calculated Column 1" numFmtId="0" hierarchy="17" level="1">
      <sharedItems count="2">
        <s v="Delay"/>
        <s v="On Time"/>
      </sharedItems>
    </cacheField>
    <cacheField name="[Measures].[Count of Calculated Column 1]" caption="Count of Calculated Column 1" numFmtId="0" hierarchy="35"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696527777" createdVersion="5" refreshedVersion="8" minRefreshableVersion="3" recordCount="0" supportSubquery="1" supportAdvancedDrill="1" xr:uid="{1030DCE1-2C1C-4E8A-97E8-03847660A277}">
  <cacheSource type="external" connectionId="3"/>
  <cacheFields count="3">
    <cacheField name="[Measures].[Average of Patient Waittime]" caption="Average of Patient Waittime"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696527777" createdVersion="5" refreshedVersion="8" minRefreshableVersion="3" recordCount="0" supportSubquery="1" supportAdvancedDrill="1" xr:uid="{3F350D51-9C46-4116-8F57-3EFA308D1499}">
  <cacheSource type="external" connectionId="3"/>
  <cacheFields count="3">
    <cacheField name="[Measures].[Average of Patient Satisfaction Score]" caption="Average of Patient Satisfaction Score" numFmtId="0" hierarchy="32"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697222224" createdVersion="5" refreshedVersion="8" minRefreshableVersion="3" recordCount="0" supportSubquery="1" supportAdvancedDrill="1" xr:uid="{180555CE-43AB-4E16-B9E9-3D9957BF2560}">
  <cacheSource type="external" connectionId="3"/>
  <cacheFields count="4">
    <cacheField name="[Measures].[Distinct Count of Patient Id]" caption="Distinct Count of Patient Id" numFmtId="0" hierarchy="28" level="32767"/>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697685186" createdVersion="5" refreshedVersion="8" minRefreshableVersion="3" recordCount="0" supportSubquery="1" supportAdvancedDrill="1" xr:uid="{697090FA-40E8-496D-9CA0-D503B66D7546}">
  <cacheSource type="external" connectionId="3"/>
  <cacheFields count="4">
    <cacheField name="[Measures].[Distinct Count of Patient Id]" caption="Distinct Count of Patient Id" numFmtId="0" hierarchy="28" level="32767"/>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697800924" createdVersion="5" refreshedVersion="8" minRefreshableVersion="3" recordCount="0" supportSubquery="1" supportAdvancedDrill="1" xr:uid="{312AB322-82CD-40DB-BAEF-377A83FB1D21}">
  <cacheSource type="external" connectionId="3"/>
  <cacheFields count="3">
    <cacheField name="[Measures].[Average of Patient Waittime]" caption="Average of Patient Waittime"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698263886" createdVersion="5" refreshedVersion="8" minRefreshableVersion="3" recordCount="0" supportSubquery="1" supportAdvancedDrill="1" xr:uid="{5B11CA16-13DC-4EAC-816C-81B9EBBBA056}">
  <cacheSource type="external" connectionId="3"/>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30"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698726855" createdVersion="5" refreshedVersion="8" minRefreshableVersion="3" recordCount="0" supportSubquery="1" supportAdvancedDrill="1" xr:uid="{E77A16FD-9A11-4FCA-930A-0A172A275472}">
  <cacheSource type="external" connectionId="3"/>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2"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699421295" createdVersion="5" refreshedVersion="8" minRefreshableVersion="3" recordCount="0" supportSubquery="1" supportAdvancedDrill="1" xr:uid="{22CA8418-64E2-416D-91F5-4E02245EFAEA}">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3"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8" level="32767">
      <extLst>
        <ext xmlns:x14="http://schemas.microsoft.com/office/spreadsheetml/2009/9/main" uri="{63CAB8AC-B538-458d-9737-405883B0398D}">
          <x14:cacheField ignore="1"/>
        </ext>
      </extLst>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699884257" createdVersion="5" refreshedVersion="8" minRefreshableVersion="3" recordCount="0" supportSubquery="1" supportAdvancedDrill="1" xr:uid="{8AE6EBD9-36A3-4545-A98B-9A26FD77B92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6"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61.492700462964" createdVersion="5" refreshedVersion="8" minRefreshableVersion="3" recordCount="0" supportSubquery="1" supportAdvancedDrill="1" xr:uid="{54C2867D-0A21-4B0E-AEC0-48EC042A3C54}">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7"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 Sharma" refreshedDate="46047.71288240741" createdVersion="3" refreshedVersion="8" minRefreshableVersion="3" recordCount="0" supportSubquery="1" supportAdvancedDrill="1" xr:uid="{1302663C-3A0A-4668-96E3-5D6494E3A302}">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104844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7EB582-37DE-4DAF-BA9A-85B5B1E9FA75}" name="PivotTable5" cacheId="7" applyNumberFormats="0" applyBorderFormats="0" applyFontFormats="0" applyPatternFormats="0" applyAlignmentFormats="0" applyWidthHeightFormats="1" dataCaption="Values" tag="b7137f19-d3c0-4a91-90a9-518d763454b6" updatedVersion="8" minRefreshableVersion="3" subtotalHiddenItems="1" itemPrintTitles="1" createdVersion="5" indent="0" outline="1" outlineData="1" multipleFieldFilters="0" chartFormat="15">
  <location ref="D16:E4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824B70-C0A3-437D-8F1F-7A3D8660DA16}" name="PivotTable9" cacheId="11" applyNumberFormats="0" applyBorderFormats="0" applyFontFormats="0" applyPatternFormats="0" applyAlignmentFormats="0" applyWidthHeightFormats="1" dataCaption="Values" tag="c626220f-4550-4e7f-b189-737c97400e62" updatedVersion="8" minRefreshableVersion="3" subtotalHiddenItems="1" itemPrintTitles="1" createdVersion="5" indent="0" outline="1" outlineData="1" multipleFieldFilters="0" chartFormat="3">
  <location ref="J36:L3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
      <pivotArea outline="0" collapsedLevelsAreSubtotals="1" fieldPosition="0"/>
    </format>
    <format dxfId="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9">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E18381-C883-44C1-BF9E-FC3166B0A6DD}" name="PivotTable3" cacheId="5" applyNumberFormats="0" applyBorderFormats="0" applyFontFormats="0" applyPatternFormats="0" applyAlignmentFormats="0" applyWidthHeightFormats="1" dataCaption="Values" tag="d77e20a6-1ecd-4ad1-9f5e-8412b8ed9404" updatedVersion="8" minRefreshableVersion="3" subtotalHiddenItems="1" itemPrintTitles="1" createdVersion="5" indent="0" outline="1" outlineData="1" multipleFieldFilters="0">
  <location ref="A21:A2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2">
      <pivotArea outline="0" collapsedLevelsAreSubtotals="1" fieldPosition="0"/>
    </format>
  </format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F3B554-CF16-44AB-A045-5E3903FB714B}" name="PivotTable6" cacheId="8" applyNumberFormats="0" applyBorderFormats="0" applyFontFormats="0" applyPatternFormats="0" applyAlignmentFormats="0" applyWidthHeightFormats="1" dataCaption="Values" tag="7d63d68e-71b2-498f-aace-ea11489f17c2" updatedVersion="8" minRefreshableVersion="3" subtotalHiddenItems="1" itemPrintTitles="1" createdVersion="5" indent="0" outline="1" outlineData="1" multipleFieldFilters="0">
  <location ref="I13:I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dataField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62B274-0296-4CCC-A3C9-4CBB9C52FA81}" name="PivotTable10" cacheId="2" applyNumberFormats="0" applyBorderFormats="0" applyFontFormats="0" applyPatternFormats="0" applyAlignmentFormats="0" applyWidthHeightFormats="1" dataCaption="Values" tag="babb988c-0cce-42e3-b361-c5ec2ce90736" updatedVersion="8" minRefreshableVersion="3" subtotalHiddenItems="1" itemPrintTitles="1" createdVersion="5" indent="0" outline="1" outlineData="1" multipleFieldFilters="0" chartFormat="3">
  <location ref="A29:B3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4">
      <pivotArea outline="0" collapsedLevelsAreSubtotals="1" fieldPosition="0"/>
    </format>
    <format dxfId="3">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DC2AA3-71D4-44CB-9C86-B2B67D2AEA2A}" name="PivotTable11" cacheId="3" applyNumberFormats="0" applyBorderFormats="0" applyFontFormats="0" applyPatternFormats="0" applyAlignmentFormats="0" applyWidthHeightFormats="1" dataCaption="Values" tag="95d31ecc-7629-40e5-aedc-15ec3f0c0a46" updatedVersion="8" minRefreshableVersion="3" subtotalHiddenItems="1" itemPrintTitles="1" createdVersion="5" indent="0" outline="1" outlineData="1" multipleFieldFilters="0" chartFormat="5">
  <location ref="A41:B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fld="2" subtotal="count" baseField="0" baseItem="0"/>
  </dataFields>
  <formats count="1">
    <format dxfId="5">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ttend"/>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35B62D-A26F-4988-9871-834F42EAA328}" name="PivotTable2" cacheId="4" applyNumberFormats="0" applyBorderFormats="0" applyFontFormats="0" applyPatternFormats="0" applyAlignmentFormats="0" applyWidthHeightFormats="1" dataCaption="Values" tag="ae62134c-09ee-4fdf-9bc7-0245da7f65d3"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
      <pivotArea outline="0" collapsedLevelsAreSubtotals="1" fieldPosition="0"/>
    </format>
  </format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B8DE37-2D40-48F7-BBFB-E8D5837262D4}" name="PivotTable8" cacheId="10" applyNumberFormats="0" applyBorderFormats="0" applyFontFormats="0" applyPatternFormats="0" applyAlignmentFormats="0" applyWidthHeightFormats="1" dataCaption="Values" tag="0e7365c3-f6f9-4da3-aaa5-d1d0fa0b9fce" updatedVersion="8" minRefreshableVersion="3" subtotalHiddenItems="1" itemPrintTitles="1" createdVersion="5" indent="0" outline="1" outlineData="1" multipleFieldFilters="0" chartFormat="28">
  <location ref="M53:N8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4"/>
  </dataFields>
  <formats count="1">
    <format dxfId="7">
      <pivotArea collapsedLevelsAreSubtotals="1" fieldPosition="0">
        <references count="1">
          <reference field="0" count="0"/>
        </references>
      </pivotArea>
    </format>
  </formats>
  <chartFormats count="2">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364D44-6442-4AC6-B9B4-5388D9C2EBB7}" name="PivotTable7" cacheId="9" applyNumberFormats="0" applyBorderFormats="0" applyFontFormats="0" applyPatternFormats="0" applyAlignmentFormats="0" applyWidthHeightFormats="1" dataCaption="Values" tag="6490f3d2-588f-4580-99ff-7549dd81b08c" updatedVersion="8" minRefreshableVersion="3" subtotalHiddenItems="1" itemPrintTitles="1" createdVersion="5" indent="0" outline="1" outlineData="1" multipleFieldFilters="0" chartFormat="22">
  <location ref="H22:I5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8">
      <pivotArea collapsedLevelsAreSubtotals="1" fieldPosition="0">
        <references count="1">
          <reference field="0" count="0"/>
        </references>
      </pivotArea>
    </format>
  </formats>
  <chartFormats count="2">
    <chartFormat chart="17"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C0F532-4949-4E8F-ADBF-442A68F6FB6E}" name="PivotTable13" cacheId="13" applyNumberFormats="0" applyBorderFormats="0" applyFontFormats="0" applyPatternFormats="0" applyAlignmentFormats="0" applyWidthHeightFormats="1" dataCaption="Values" tag="993cde63-5995-4725-bc12-07f859818852" updatedVersion="8" minRefreshableVersion="3" subtotalHiddenItems="1" itemPrintTitles="1" createdVersion="5" indent="0" outline="1" outlineData="1" multipleFieldFilters="0" chartFormat="21">
  <location ref="A59:B6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9">
      <pivotArea outline="0" collapsedLevelsAreSubtotals="1" fieldPosition="0"/>
    </format>
  </formats>
  <chartFormats count="1">
    <chartFormat chart="17"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ttend"/>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751A39-7DA4-429A-B801-F14A27E52664}" name="PivotTable12" cacheId="12" applyNumberFormats="0" applyBorderFormats="0" applyFontFormats="0" applyPatternFormats="0" applyAlignmentFormats="0" applyWidthHeightFormats="1" dataCaption="Values" tag="f98a257f-14e7-4f85-9219-f17f914a93b8" updatedVersion="8" minRefreshableVersion="3" subtotalHiddenItems="1" itemPrintTitles="1" createdVersion="5" indent="0" outline="1" outlineData="1" multipleFieldFilters="0" chartFormat="10">
  <location ref="A51:B5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0">
      <pivotArea outline="0" collapsedLevelsAreSubtotals="1" fieldPosition="0"/>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ttend"/>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F1BF39-B014-4FC7-9F39-748918BB01D4}" name="PivotTable4" cacheId="6" applyNumberFormats="0" applyBorderFormats="0" applyFontFormats="0" applyPatternFormats="0" applyAlignmentFormats="0" applyWidthHeightFormats="1" dataCaption="Values" tag="e24533eb-e8be-489f-a14c-e7f3b84e1b95" updatedVersion="8" minRefreshableVersion="3" subtotalHiddenItems="1" itemPrintTitles="1" createdVersion="5" indent="0" outline="1" outlineData="1" multipleFieldFilters="0" chartFormat="18">
  <location ref="C8:D11"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of Total" fld="0" subtotal="count" showDataAs="percentOfTotal" baseField="0" baseItem="0" numFmtId="10">
      <extLst>
        <ext xmlns:x15="http://schemas.microsoft.com/office/spreadsheetml/2010/11/main" uri="{FABC7310-3BB5-11E1-824E-6D434824019B}">
          <x15:dataField isCountDistinct="1"/>
        </ext>
      </extLst>
    </dataField>
  </dataFields>
  <chartFormats count="2">
    <chartFormat chart="14"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of Total"/>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316C79-5718-45FD-A352-897F034DAF09}" name="PivotTable14" cacheId="0" applyNumberFormats="0" applyBorderFormats="0" applyFontFormats="0" applyPatternFormats="0" applyAlignmentFormats="0" applyWidthHeightFormats="1" dataCaption="Values" tag="9271d628-4f9e-4564-9884-a44312c0a58f" updatedVersion="8" minRefreshableVersion="3" subtotalHiddenItems="1" itemPrintTitles="1" createdVersion="5" indent="0" outline="1" outlineData="1" multipleFieldFilters="0" chartFormat="10">
  <location ref="D57:D59"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11">
      <pivotArea outline="0" collapsedLevelsAreSubtotals="1" fieldPosition="0"/>
    </format>
  </format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ttend"/>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7A00D2-595B-40A4-A69A-251287F2D051}" name="PivotTable1" cacheId="1" applyNumberFormats="0" applyBorderFormats="0" applyFontFormats="0" applyPatternFormats="0" applyAlignmentFormats="0" applyWidthHeightFormats="1" dataCaption="Values" tag="16e741f9-f161-4d90-96bb-16307a48dc57" updatedVersion="8" minRefreshableVersion="3" subtotalHiddenItems="1" itemPrintTitles="1" createdVersion="5" indent="0" outline="1" outlineData="1" multipleFieldFilters="0" chartFormat="3">
  <location ref="A4:A5"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6B77B77-D9B4-41AE-960A-7B67BF374498}"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 tabId="1" name="PivotTable14"/>
  </pivotTables>
  <data>
    <olap pivotCacheId="1810484485">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CDA0B7F-58AF-44F5-AAF3-59C0AB08803E}" sourceName="[calendar_table].[Date (Year)]">
  <pivotTables>
    <pivotTable tabId="1" name="PivotTable14"/>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2"/>
    <pivotTable tabId="1" name="PivotTable13"/>
  </pivotTables>
  <data>
    <olap pivotCacheId="1810484485">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9BD4538-F1DC-4804-8773-DF28492BFC5E}" cache="Slicer_Date__Month" caption="Date (Month)" level="1" style="SlicerStyleDark2" rowHeight="252000"/>
  <slicer name="Date (Year)" xr10:uid="{720A22F6-0BAA-4637-B3E1-5DCF5909B899}" cache="Slicer_Date__Year" caption="Date (Year)" columnCount="2" showCaption="0" level="1" style="SlicerStyleDark2" rowHeight="72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0B8B6-5703-43FB-B83A-F8388E1AA819}">
  <dimension ref="A3:N85"/>
  <sheetViews>
    <sheetView topLeftCell="A23" zoomScale="71" workbookViewId="0">
      <selection activeCell="D59" sqref="D58:D59"/>
    </sheetView>
  </sheetViews>
  <sheetFormatPr defaultRowHeight="14.4" x14ac:dyDescent="0.3"/>
  <cols>
    <col min="1" max="1" width="23.88671875" bestFit="1" customWidth="1"/>
    <col min="3" max="3" width="24.33203125" customWidth="1"/>
    <col min="4" max="4" width="25.88671875" customWidth="1"/>
    <col min="5" max="5" width="23" customWidth="1"/>
    <col min="8" max="8" width="22.77734375" customWidth="1"/>
    <col min="9" max="9" width="20.88671875" customWidth="1"/>
    <col min="11" max="11" width="15.6640625" customWidth="1"/>
    <col min="12" max="12" width="7.88671875" customWidth="1"/>
    <col min="13" max="13" width="8.33203125" customWidth="1"/>
    <col min="14" max="14" width="25.109375" customWidth="1"/>
  </cols>
  <sheetData>
    <row r="3" spans="1:9" x14ac:dyDescent="0.3">
      <c r="A3" t="s">
        <v>1</v>
      </c>
    </row>
    <row r="4" spans="1:9" x14ac:dyDescent="0.3">
      <c r="A4" t="s">
        <v>0</v>
      </c>
    </row>
    <row r="5" spans="1:9" x14ac:dyDescent="0.3">
      <c r="A5">
        <v>488</v>
      </c>
      <c r="C5">
        <f>A5</f>
        <v>488</v>
      </c>
    </row>
    <row r="7" spans="1:9" x14ac:dyDescent="0.3">
      <c r="A7">
        <f>A5</f>
        <v>488</v>
      </c>
    </row>
    <row r="8" spans="1:9" x14ac:dyDescent="0.3">
      <c r="C8" s="2" t="s">
        <v>19</v>
      </c>
      <c r="D8" t="s">
        <v>28</v>
      </c>
      <c r="E8" t="s">
        <v>29</v>
      </c>
    </row>
    <row r="9" spans="1:9" x14ac:dyDescent="0.3">
      <c r="C9" s="3" t="s">
        <v>5</v>
      </c>
      <c r="D9" s="5">
        <v>0.54508196721311475</v>
      </c>
    </row>
    <row r="10" spans="1:9" x14ac:dyDescent="0.3">
      <c r="C10" s="3" t="s">
        <v>17</v>
      </c>
      <c r="D10" s="5">
        <v>0.45491803278688525</v>
      </c>
    </row>
    <row r="11" spans="1:9" x14ac:dyDescent="0.3">
      <c r="C11" s="3" t="s">
        <v>20</v>
      </c>
      <c r="D11" s="5">
        <v>1</v>
      </c>
    </row>
    <row r="12" spans="1:9" x14ac:dyDescent="0.3">
      <c r="A12" t="s">
        <v>2</v>
      </c>
    </row>
    <row r="13" spans="1:9" x14ac:dyDescent="0.3">
      <c r="A13" s="7">
        <v>35.19877049180328</v>
      </c>
      <c r="I13" t="s">
        <v>2</v>
      </c>
    </row>
    <row r="14" spans="1:9" x14ac:dyDescent="0.3">
      <c r="I14">
        <v>35.19877049180328</v>
      </c>
    </row>
    <row r="15" spans="1:9" x14ac:dyDescent="0.3">
      <c r="D15" t="s">
        <v>30</v>
      </c>
    </row>
    <row r="16" spans="1:9" x14ac:dyDescent="0.3">
      <c r="A16" s="4"/>
      <c r="D16" s="2" t="s">
        <v>19</v>
      </c>
      <c r="E16" t="s">
        <v>0</v>
      </c>
    </row>
    <row r="17" spans="1:14" x14ac:dyDescent="0.3">
      <c r="D17" s="3" t="s">
        <v>43</v>
      </c>
      <c r="E17">
        <v>17</v>
      </c>
    </row>
    <row r="18" spans="1:14" x14ac:dyDescent="0.3">
      <c r="D18" s="3" t="s">
        <v>44</v>
      </c>
      <c r="E18">
        <v>19</v>
      </c>
    </row>
    <row r="19" spans="1:14" x14ac:dyDescent="0.3">
      <c r="D19" s="3" t="s">
        <v>45</v>
      </c>
      <c r="E19">
        <v>12</v>
      </c>
      <c r="H19" s="4"/>
      <c r="I19" s="4"/>
    </row>
    <row r="20" spans="1:14" x14ac:dyDescent="0.3">
      <c r="D20" s="3" t="s">
        <v>46</v>
      </c>
      <c r="E20">
        <v>9</v>
      </c>
    </row>
    <row r="21" spans="1:14" x14ac:dyDescent="0.3">
      <c r="A21" t="s">
        <v>18</v>
      </c>
      <c r="D21" s="3" t="s">
        <v>47</v>
      </c>
      <c r="E21">
        <v>15</v>
      </c>
      <c r="H21" t="s">
        <v>31</v>
      </c>
    </row>
    <row r="22" spans="1:14" x14ac:dyDescent="0.3">
      <c r="A22" s="7">
        <v>4.7876712328767121</v>
      </c>
      <c r="D22" s="3" t="s">
        <v>48</v>
      </c>
      <c r="E22">
        <v>10</v>
      </c>
      <c r="H22" s="2" t="s">
        <v>19</v>
      </c>
      <c r="I22" t="s">
        <v>2</v>
      </c>
    </row>
    <row r="23" spans="1:14" x14ac:dyDescent="0.3">
      <c r="D23" s="3" t="s">
        <v>49</v>
      </c>
      <c r="E23">
        <v>18</v>
      </c>
      <c r="H23" s="3" t="s">
        <v>43</v>
      </c>
      <c r="I23" s="7">
        <v>36.941176470588232</v>
      </c>
    </row>
    <row r="24" spans="1:14" x14ac:dyDescent="0.3">
      <c r="A24">
        <f>A22</f>
        <v>4.7876712328767121</v>
      </c>
      <c r="D24" s="3" t="s">
        <v>50</v>
      </c>
      <c r="E24">
        <v>19</v>
      </c>
      <c r="H24" s="3" t="s">
        <v>44</v>
      </c>
      <c r="I24" s="7">
        <v>30.842105263157894</v>
      </c>
    </row>
    <row r="25" spans="1:14" x14ac:dyDescent="0.3">
      <c r="D25" s="3" t="s">
        <v>51</v>
      </c>
      <c r="E25">
        <v>19</v>
      </c>
      <c r="H25" s="3" t="s">
        <v>45</v>
      </c>
      <c r="I25" s="7">
        <v>31.833333333333332</v>
      </c>
    </row>
    <row r="26" spans="1:14" x14ac:dyDescent="0.3">
      <c r="D26" s="3" t="s">
        <v>52</v>
      </c>
      <c r="E26">
        <v>13</v>
      </c>
      <c r="H26" s="3" t="s">
        <v>46</v>
      </c>
      <c r="I26" s="7">
        <v>33.777777777777779</v>
      </c>
    </row>
    <row r="27" spans="1:14" x14ac:dyDescent="0.3">
      <c r="D27" s="3" t="s">
        <v>53</v>
      </c>
      <c r="E27">
        <v>15</v>
      </c>
      <c r="H27" s="3" t="s">
        <v>47</v>
      </c>
      <c r="I27" s="7">
        <v>30.466666666666665</v>
      </c>
    </row>
    <row r="28" spans="1:14" x14ac:dyDescent="0.3">
      <c r="D28" s="3" t="s">
        <v>54</v>
      </c>
      <c r="E28">
        <v>25</v>
      </c>
      <c r="H28" s="3" t="s">
        <v>48</v>
      </c>
      <c r="I28" s="7">
        <v>38.799999999999997</v>
      </c>
      <c r="K28" s="15" t="s">
        <v>36</v>
      </c>
      <c r="L28" s="15" t="s">
        <v>38</v>
      </c>
      <c r="M28" s="15" t="s">
        <v>37</v>
      </c>
      <c r="N28" s="9"/>
    </row>
    <row r="29" spans="1:14" x14ac:dyDescent="0.3">
      <c r="A29" s="2" t="s">
        <v>19</v>
      </c>
      <c r="B29" t="s">
        <v>39</v>
      </c>
      <c r="D29" s="3" t="s">
        <v>55</v>
      </c>
      <c r="E29">
        <v>19</v>
      </c>
      <c r="H29" s="3" t="s">
        <v>49</v>
      </c>
      <c r="I29" s="7">
        <v>30.277777777777779</v>
      </c>
      <c r="K29" s="12" t="str">
        <f t="shared" ref="K29:M30" si="0">J37</f>
        <v>Admitted</v>
      </c>
      <c r="L29" s="11">
        <f t="shared" si="0"/>
        <v>266</v>
      </c>
      <c r="M29" s="13">
        <f t="shared" si="0"/>
        <v>0.54508196721311475</v>
      </c>
    </row>
    <row r="30" spans="1:14" x14ac:dyDescent="0.3">
      <c r="A30" s="3" t="s">
        <v>13</v>
      </c>
      <c r="B30" s="8">
        <v>62</v>
      </c>
      <c r="D30" s="3" t="s">
        <v>56</v>
      </c>
      <c r="E30">
        <v>15</v>
      </c>
      <c r="H30" s="3" t="s">
        <v>50</v>
      </c>
      <c r="I30" s="7">
        <v>35.157894736842103</v>
      </c>
      <c r="K30" s="12" t="str">
        <f t="shared" si="0"/>
        <v>Not Admitted</v>
      </c>
      <c r="L30" s="10">
        <f t="shared" si="0"/>
        <v>222</v>
      </c>
      <c r="M30" s="14">
        <f t="shared" si="0"/>
        <v>0.45491803278688525</v>
      </c>
    </row>
    <row r="31" spans="1:14" x14ac:dyDescent="0.3">
      <c r="A31" s="3" t="s">
        <v>8</v>
      </c>
      <c r="B31" s="8">
        <v>73</v>
      </c>
      <c r="D31" s="3" t="s">
        <v>57</v>
      </c>
      <c r="E31">
        <v>14</v>
      </c>
      <c r="H31" s="3" t="s">
        <v>51</v>
      </c>
      <c r="I31" s="7">
        <v>37.94736842105263</v>
      </c>
    </row>
    <row r="32" spans="1:14" x14ac:dyDescent="0.3">
      <c r="A32" s="3" t="s">
        <v>14</v>
      </c>
      <c r="B32" s="8">
        <v>49</v>
      </c>
      <c r="D32" s="3" t="s">
        <v>58</v>
      </c>
      <c r="E32">
        <v>20</v>
      </c>
      <c r="H32" s="3" t="s">
        <v>52</v>
      </c>
      <c r="I32" s="7">
        <v>33.92307692307692</v>
      </c>
    </row>
    <row r="33" spans="1:12" x14ac:dyDescent="0.3">
      <c r="A33" s="3" t="s">
        <v>15</v>
      </c>
      <c r="B33" s="8">
        <v>44</v>
      </c>
      <c r="D33" s="3" t="s">
        <v>59</v>
      </c>
      <c r="E33">
        <v>14</v>
      </c>
      <c r="H33" s="3" t="s">
        <v>53</v>
      </c>
      <c r="I33" s="7">
        <v>33.200000000000003</v>
      </c>
    </row>
    <row r="34" spans="1:12" x14ac:dyDescent="0.3">
      <c r="A34" s="3" t="s">
        <v>11</v>
      </c>
      <c r="B34" s="8">
        <v>72</v>
      </c>
      <c r="D34" s="3" t="s">
        <v>60</v>
      </c>
      <c r="E34">
        <v>14</v>
      </c>
      <c r="H34" s="3" t="s">
        <v>54</v>
      </c>
      <c r="I34" s="7">
        <v>40.159999999999997</v>
      </c>
    </row>
    <row r="35" spans="1:12" x14ac:dyDescent="0.3">
      <c r="A35" s="3" t="s">
        <v>12</v>
      </c>
      <c r="B35" s="8">
        <v>71</v>
      </c>
      <c r="D35" s="3" t="s">
        <v>61</v>
      </c>
      <c r="E35">
        <v>17</v>
      </c>
      <c r="H35" s="3" t="s">
        <v>55</v>
      </c>
      <c r="I35" s="7">
        <v>41.578947368421055</v>
      </c>
    </row>
    <row r="36" spans="1:12" x14ac:dyDescent="0.3">
      <c r="A36" s="3" t="s">
        <v>6</v>
      </c>
      <c r="B36" s="8">
        <v>59</v>
      </c>
      <c r="D36" s="3" t="s">
        <v>62</v>
      </c>
      <c r="E36">
        <v>16</v>
      </c>
      <c r="H36" s="3" t="s">
        <v>56</v>
      </c>
      <c r="I36" s="7">
        <v>36.866666666666667</v>
      </c>
      <c r="J36" s="2" t="s">
        <v>19</v>
      </c>
      <c r="K36" t="s">
        <v>34</v>
      </c>
      <c r="L36" t="s">
        <v>35</v>
      </c>
    </row>
    <row r="37" spans="1:12" x14ac:dyDescent="0.3">
      <c r="A37" s="3" t="s">
        <v>10</v>
      </c>
      <c r="B37" s="8">
        <v>58</v>
      </c>
      <c r="D37" s="3" t="s">
        <v>63</v>
      </c>
      <c r="E37">
        <v>18</v>
      </c>
      <c r="H37" s="3" t="s">
        <v>57</v>
      </c>
      <c r="I37" s="7">
        <v>33.714285714285715</v>
      </c>
      <c r="J37" s="3" t="s">
        <v>5</v>
      </c>
      <c r="K37" s="7">
        <v>266</v>
      </c>
      <c r="L37" s="5">
        <v>0.54508196721311475</v>
      </c>
    </row>
    <row r="38" spans="1:12" x14ac:dyDescent="0.3">
      <c r="A38" s="3" t="s">
        <v>20</v>
      </c>
      <c r="B38" s="7">
        <v>488</v>
      </c>
      <c r="D38" s="3" t="s">
        <v>64</v>
      </c>
      <c r="E38">
        <v>8</v>
      </c>
      <c r="H38" s="3" t="s">
        <v>58</v>
      </c>
      <c r="I38" s="7">
        <v>33.700000000000003</v>
      </c>
      <c r="J38" s="3" t="s">
        <v>17</v>
      </c>
      <c r="K38" s="7">
        <v>222</v>
      </c>
      <c r="L38" s="5">
        <v>0.45491803278688525</v>
      </c>
    </row>
    <row r="39" spans="1:12" x14ac:dyDescent="0.3">
      <c r="D39" s="3" t="s">
        <v>65</v>
      </c>
      <c r="E39">
        <v>17</v>
      </c>
      <c r="H39" s="3" t="s">
        <v>59</v>
      </c>
      <c r="I39" s="7">
        <v>34.642857142857146</v>
      </c>
      <c r="J39" s="3" t="s">
        <v>20</v>
      </c>
      <c r="K39" s="7">
        <v>488</v>
      </c>
      <c r="L39" s="5">
        <v>1</v>
      </c>
    </row>
    <row r="40" spans="1:12" x14ac:dyDescent="0.3">
      <c r="D40" s="3" t="s">
        <v>66</v>
      </c>
      <c r="E40">
        <v>11</v>
      </c>
      <c r="H40" s="3" t="s">
        <v>60</v>
      </c>
      <c r="I40" s="7">
        <v>36.5</v>
      </c>
    </row>
    <row r="41" spans="1:12" x14ac:dyDescent="0.3">
      <c r="A41" s="2" t="s">
        <v>19</v>
      </c>
      <c r="B41" t="s">
        <v>40</v>
      </c>
      <c r="D41" s="3" t="s">
        <v>67</v>
      </c>
      <c r="E41">
        <v>15</v>
      </c>
      <c r="H41" s="3" t="s">
        <v>61</v>
      </c>
      <c r="I41" s="7">
        <v>33.058823529411768</v>
      </c>
    </row>
    <row r="42" spans="1:12" x14ac:dyDescent="0.3">
      <c r="A42" s="3" t="s">
        <v>9</v>
      </c>
      <c r="B42" s="7">
        <v>288</v>
      </c>
      <c r="D42" s="3" t="s">
        <v>68</v>
      </c>
      <c r="E42">
        <v>13</v>
      </c>
      <c r="H42" s="3" t="s">
        <v>62</v>
      </c>
      <c r="I42" s="7">
        <v>33.5625</v>
      </c>
    </row>
    <row r="43" spans="1:12" x14ac:dyDescent="0.3">
      <c r="A43" s="3" t="s">
        <v>7</v>
      </c>
      <c r="B43" s="7">
        <v>200</v>
      </c>
      <c r="D43" s="3" t="s">
        <v>69</v>
      </c>
      <c r="E43">
        <v>17</v>
      </c>
      <c r="H43" s="3" t="s">
        <v>63</v>
      </c>
      <c r="I43" s="7">
        <v>31.555555555555557</v>
      </c>
    </row>
    <row r="44" spans="1:12" x14ac:dyDescent="0.3">
      <c r="A44" s="3" t="s">
        <v>20</v>
      </c>
      <c r="B44" s="7">
        <v>488</v>
      </c>
      <c r="D44" s="3" t="s">
        <v>70</v>
      </c>
      <c r="E44">
        <v>20</v>
      </c>
      <c r="H44" s="3" t="s">
        <v>64</v>
      </c>
      <c r="I44" s="7">
        <v>38.375</v>
      </c>
    </row>
    <row r="45" spans="1:12" x14ac:dyDescent="0.3">
      <c r="D45" s="3" t="s">
        <v>71</v>
      </c>
      <c r="E45">
        <v>20</v>
      </c>
      <c r="H45" s="3" t="s">
        <v>65</v>
      </c>
      <c r="I45" s="7">
        <v>35.411764705882355</v>
      </c>
    </row>
    <row r="46" spans="1:12" x14ac:dyDescent="0.3">
      <c r="D46" s="3" t="s">
        <v>72</v>
      </c>
      <c r="E46">
        <v>13</v>
      </c>
      <c r="H46" s="3" t="s">
        <v>66</v>
      </c>
      <c r="I46" s="7">
        <v>34.909090909090907</v>
      </c>
    </row>
    <row r="47" spans="1:12" x14ac:dyDescent="0.3">
      <c r="D47" s="3" t="s">
        <v>73</v>
      </c>
      <c r="E47">
        <v>16</v>
      </c>
      <c r="H47" s="3" t="s">
        <v>67</v>
      </c>
      <c r="I47" s="7">
        <v>35.133333333333333</v>
      </c>
    </row>
    <row r="48" spans="1:12" x14ac:dyDescent="0.3">
      <c r="D48" s="3" t="s">
        <v>20</v>
      </c>
      <c r="E48">
        <v>488</v>
      </c>
      <c r="H48" s="3" t="s">
        <v>68</v>
      </c>
      <c r="I48" s="7">
        <v>35.07692307692308</v>
      </c>
    </row>
    <row r="49" spans="1:14" x14ac:dyDescent="0.3">
      <c r="H49" s="3" t="s">
        <v>69</v>
      </c>
      <c r="I49" s="7">
        <v>35.352941176470587</v>
      </c>
    </row>
    <row r="50" spans="1:14" x14ac:dyDescent="0.3">
      <c r="H50" s="3" t="s">
        <v>70</v>
      </c>
      <c r="I50" s="7">
        <v>36.6</v>
      </c>
    </row>
    <row r="51" spans="1:14" x14ac:dyDescent="0.3">
      <c r="A51" s="2" t="s">
        <v>19</v>
      </c>
      <c r="B51" t="s">
        <v>41</v>
      </c>
      <c r="H51" s="3" t="s">
        <v>71</v>
      </c>
      <c r="I51" s="7">
        <v>35.799999999999997</v>
      </c>
    </row>
    <row r="52" spans="1:14" x14ac:dyDescent="0.3">
      <c r="A52" s="3" t="s">
        <v>16</v>
      </c>
      <c r="B52" s="7">
        <v>232</v>
      </c>
      <c r="H52" s="3" t="s">
        <v>72</v>
      </c>
      <c r="I52" s="7">
        <v>30.307692307692307</v>
      </c>
    </row>
    <row r="53" spans="1:14" x14ac:dyDescent="0.3">
      <c r="A53" s="3" t="s">
        <v>3</v>
      </c>
      <c r="B53" s="7">
        <v>256</v>
      </c>
      <c r="H53" s="3" t="s">
        <v>73</v>
      </c>
      <c r="I53" s="7">
        <v>42.75</v>
      </c>
      <c r="M53" s="2" t="s">
        <v>19</v>
      </c>
      <c r="N53" t="s">
        <v>18</v>
      </c>
    </row>
    <row r="54" spans="1:14" x14ac:dyDescent="0.3">
      <c r="A54" s="3" t="s">
        <v>20</v>
      </c>
      <c r="B54" s="7">
        <v>488</v>
      </c>
      <c r="H54" s="3" t="s">
        <v>20</v>
      </c>
      <c r="I54">
        <v>35.19877049180328</v>
      </c>
      <c r="M54" s="3" t="s">
        <v>43</v>
      </c>
      <c r="N54" s="7">
        <v>4.125</v>
      </c>
    </row>
    <row r="55" spans="1:14" x14ac:dyDescent="0.3">
      <c r="M55" s="3" t="s">
        <v>44</v>
      </c>
      <c r="N55" s="7">
        <v>5.333333333333333</v>
      </c>
    </row>
    <row r="56" spans="1:14" x14ac:dyDescent="0.3">
      <c r="M56" s="3" t="s">
        <v>45</v>
      </c>
      <c r="N56" s="7">
        <v>4.75</v>
      </c>
    </row>
    <row r="57" spans="1:14" x14ac:dyDescent="0.3">
      <c r="D57" s="2" t="s">
        <v>19</v>
      </c>
      <c r="M57" s="3" t="s">
        <v>46</v>
      </c>
      <c r="N57" s="7">
        <v>2</v>
      </c>
    </row>
    <row r="58" spans="1:14" x14ac:dyDescent="0.3">
      <c r="D58" s="3" t="s">
        <v>74</v>
      </c>
      <c r="M58" s="3" t="s">
        <v>47</v>
      </c>
      <c r="N58" s="7">
        <v>8</v>
      </c>
    </row>
    <row r="59" spans="1:14" x14ac:dyDescent="0.3">
      <c r="A59" s="2" t="s">
        <v>19</v>
      </c>
      <c r="B59" t="s">
        <v>42</v>
      </c>
      <c r="D59" s="3" t="s">
        <v>20</v>
      </c>
      <c r="M59" s="3" t="s">
        <v>48</v>
      </c>
      <c r="N59" s="7">
        <v>3.5</v>
      </c>
    </row>
    <row r="60" spans="1:14" x14ac:dyDescent="0.3">
      <c r="A60" s="3" t="s">
        <v>27</v>
      </c>
      <c r="B60" s="7">
        <v>4</v>
      </c>
      <c r="M60" s="3" t="s">
        <v>49</v>
      </c>
      <c r="N60" s="7">
        <v>7</v>
      </c>
    </row>
    <row r="61" spans="1:14" x14ac:dyDescent="0.3">
      <c r="A61" s="3" t="s">
        <v>25</v>
      </c>
      <c r="B61" s="7">
        <v>7</v>
      </c>
      <c r="M61" s="3" t="s">
        <v>50</v>
      </c>
      <c r="N61" s="7">
        <v>3.5</v>
      </c>
    </row>
    <row r="62" spans="1:14" x14ac:dyDescent="0.3">
      <c r="A62" s="3" t="s">
        <v>24</v>
      </c>
      <c r="B62" s="7">
        <v>11</v>
      </c>
      <c r="M62" s="3" t="s">
        <v>51</v>
      </c>
      <c r="N62" s="7">
        <v>6.4</v>
      </c>
    </row>
    <row r="63" spans="1:14" x14ac:dyDescent="0.3">
      <c r="A63" s="3" t="s">
        <v>26</v>
      </c>
      <c r="B63" s="7">
        <v>11</v>
      </c>
      <c r="M63" s="3" t="s">
        <v>52</v>
      </c>
      <c r="N63" s="7">
        <v>3.5</v>
      </c>
    </row>
    <row r="64" spans="1:14" x14ac:dyDescent="0.3">
      <c r="A64" s="3" t="s">
        <v>23</v>
      </c>
      <c r="B64" s="7">
        <v>12</v>
      </c>
      <c r="M64" s="3" t="s">
        <v>53</v>
      </c>
      <c r="N64" s="7">
        <v>6.5</v>
      </c>
    </row>
    <row r="65" spans="1:14" x14ac:dyDescent="0.3">
      <c r="A65" s="3" t="s">
        <v>22</v>
      </c>
      <c r="B65" s="7">
        <v>60</v>
      </c>
      <c r="M65" s="3" t="s">
        <v>54</v>
      </c>
      <c r="N65" s="7">
        <v>5.2857142857142856</v>
      </c>
    </row>
    <row r="66" spans="1:14" x14ac:dyDescent="0.3">
      <c r="A66" s="3" t="s">
        <v>21</v>
      </c>
      <c r="B66" s="7">
        <v>93</v>
      </c>
      <c r="M66" s="3" t="s">
        <v>55</v>
      </c>
      <c r="N66" s="7">
        <v>4.333333333333333</v>
      </c>
    </row>
    <row r="67" spans="1:14" x14ac:dyDescent="0.3">
      <c r="A67" s="3" t="s">
        <v>4</v>
      </c>
      <c r="B67" s="7">
        <v>290</v>
      </c>
      <c r="M67" s="3" t="s">
        <v>56</v>
      </c>
      <c r="N67" s="7">
        <v>3</v>
      </c>
    </row>
    <row r="68" spans="1:14" x14ac:dyDescent="0.3">
      <c r="A68" s="3" t="s">
        <v>20</v>
      </c>
      <c r="B68" s="7">
        <v>488</v>
      </c>
      <c r="M68" s="3" t="s">
        <v>57</v>
      </c>
      <c r="N68" s="7">
        <v>4.333333333333333</v>
      </c>
    </row>
    <row r="69" spans="1:14" x14ac:dyDescent="0.3">
      <c r="M69" s="3" t="s">
        <v>58</v>
      </c>
      <c r="N69" s="7">
        <v>3.3333333333333335</v>
      </c>
    </row>
    <row r="70" spans="1:14" x14ac:dyDescent="0.3">
      <c r="M70" s="3" t="s">
        <v>59</v>
      </c>
      <c r="N70" s="7">
        <v>2.5714285714285716</v>
      </c>
    </row>
    <row r="71" spans="1:14" x14ac:dyDescent="0.3">
      <c r="M71" s="3" t="s">
        <v>60</v>
      </c>
      <c r="N71" s="7">
        <v>3.75</v>
      </c>
    </row>
    <row r="72" spans="1:14" x14ac:dyDescent="0.3">
      <c r="M72" s="3" t="s">
        <v>61</v>
      </c>
      <c r="N72" s="7">
        <v>8.3333333333333339</v>
      </c>
    </row>
    <row r="73" spans="1:14" x14ac:dyDescent="0.3">
      <c r="M73" s="3" t="s">
        <v>62</v>
      </c>
      <c r="N73" s="7">
        <v>3.75</v>
      </c>
    </row>
    <row r="74" spans="1:14" x14ac:dyDescent="0.3">
      <c r="M74" s="3" t="s">
        <v>63</v>
      </c>
      <c r="N74" s="7">
        <v>4.666666666666667</v>
      </c>
    </row>
    <row r="75" spans="1:14" x14ac:dyDescent="0.3">
      <c r="M75" s="3" t="s">
        <v>64</v>
      </c>
      <c r="N75" s="7">
        <v>5</v>
      </c>
    </row>
    <row r="76" spans="1:14" x14ac:dyDescent="0.3">
      <c r="M76" s="3" t="s">
        <v>65</v>
      </c>
      <c r="N76" s="7">
        <v>4.333333333333333</v>
      </c>
    </row>
    <row r="77" spans="1:14" x14ac:dyDescent="0.3">
      <c r="M77" s="3" t="s">
        <v>66</v>
      </c>
      <c r="N77" s="7">
        <v>4.666666666666667</v>
      </c>
    </row>
    <row r="78" spans="1:14" x14ac:dyDescent="0.3">
      <c r="M78" s="3" t="s">
        <v>67</v>
      </c>
      <c r="N78" s="7">
        <v>4.5</v>
      </c>
    </row>
    <row r="79" spans="1:14" x14ac:dyDescent="0.3">
      <c r="M79" s="3" t="s">
        <v>68</v>
      </c>
      <c r="N79" s="7">
        <v>6</v>
      </c>
    </row>
    <row r="80" spans="1:14" x14ac:dyDescent="0.3">
      <c r="M80" s="3" t="s">
        <v>69</v>
      </c>
      <c r="N80" s="7">
        <v>6.8888888888888893</v>
      </c>
    </row>
    <row r="81" spans="13:14" x14ac:dyDescent="0.3">
      <c r="M81" s="3" t="s">
        <v>70</v>
      </c>
      <c r="N81" s="7">
        <v>6.5714285714285712</v>
      </c>
    </row>
    <row r="82" spans="13:14" x14ac:dyDescent="0.3">
      <c r="M82" s="3" t="s">
        <v>71</v>
      </c>
      <c r="N82" s="7">
        <v>4.0999999999999996</v>
      </c>
    </row>
    <row r="83" spans="13:14" x14ac:dyDescent="0.3">
      <c r="M83" s="3" t="s">
        <v>72</v>
      </c>
      <c r="N83" s="7">
        <v>5</v>
      </c>
    </row>
    <row r="84" spans="13:14" x14ac:dyDescent="0.3">
      <c r="M84" s="3" t="s">
        <v>73</v>
      </c>
      <c r="N84" s="7">
        <v>5.4</v>
      </c>
    </row>
    <row r="85" spans="13:14" x14ac:dyDescent="0.3">
      <c r="M85" s="3" t="s">
        <v>20</v>
      </c>
      <c r="N85">
        <v>4.7876712328767121</v>
      </c>
    </row>
  </sheetData>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78745-E812-4E49-A564-75CB0CFE39EE}">
  <dimension ref="A1:S36"/>
  <sheetViews>
    <sheetView tabSelected="1" topLeftCell="A5" zoomScale="69" zoomScaleNormal="55" workbookViewId="0"/>
  </sheetViews>
  <sheetFormatPr defaultRowHeight="14.4" x14ac:dyDescent="0.3"/>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x14ac:dyDescent="0.3">
      <c r="A3" s="1"/>
      <c r="B3" s="1"/>
      <c r="C3" s="1"/>
      <c r="D3" s="1"/>
      <c r="E3" s="1"/>
      <c r="F3" s="1"/>
      <c r="G3" s="1"/>
      <c r="H3" s="1"/>
      <c r="I3" s="1"/>
      <c r="J3" s="1"/>
      <c r="K3" s="1"/>
      <c r="L3" s="1"/>
      <c r="M3" s="1"/>
      <c r="N3" s="1"/>
      <c r="O3" s="1"/>
    </row>
    <row r="4" spans="1:15"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x14ac:dyDescent="0.3">
      <c r="A6" s="1"/>
      <c r="B6" s="1"/>
      <c r="C6" s="1"/>
      <c r="D6" s="1"/>
      <c r="E6" s="1"/>
      <c r="F6" s="1"/>
      <c r="G6" s="1"/>
      <c r="H6" s="1"/>
      <c r="I6" s="1"/>
      <c r="J6" s="1"/>
      <c r="K6" s="1"/>
      <c r="L6" s="1"/>
      <c r="M6" s="1"/>
      <c r="N6" s="1"/>
      <c r="O6" s="1"/>
    </row>
    <row r="7" spans="1:15" x14ac:dyDescent="0.3">
      <c r="A7" s="1"/>
      <c r="B7" s="1"/>
      <c r="C7" s="1"/>
      <c r="D7" s="1"/>
      <c r="E7" s="1"/>
      <c r="F7" s="1"/>
      <c r="G7" s="1"/>
      <c r="H7" s="1"/>
      <c r="I7" s="1"/>
      <c r="J7" s="1"/>
      <c r="K7" s="1"/>
      <c r="L7" s="1"/>
      <c r="M7" s="1"/>
      <c r="N7" s="1"/>
      <c r="O7" s="1"/>
    </row>
    <row r="8" spans="1:15" x14ac:dyDescent="0.3">
      <c r="A8" s="1"/>
      <c r="B8" s="1"/>
      <c r="C8" s="1"/>
      <c r="D8" s="1"/>
      <c r="E8" s="1"/>
      <c r="F8" s="1"/>
      <c r="G8" s="1"/>
      <c r="H8" s="1"/>
      <c r="I8" s="1"/>
      <c r="J8" s="1"/>
      <c r="K8" s="1"/>
      <c r="L8" s="1"/>
      <c r="M8" s="1"/>
      <c r="N8" s="1"/>
      <c r="O8" s="1"/>
    </row>
    <row r="9" spans="1:15" x14ac:dyDescent="0.3">
      <c r="A9" s="1"/>
      <c r="B9" s="1"/>
      <c r="C9" s="1"/>
      <c r="D9" s="1"/>
      <c r="E9" s="1"/>
      <c r="F9" s="1"/>
      <c r="G9" s="1"/>
      <c r="H9" s="1"/>
      <c r="I9" s="1"/>
      <c r="J9" s="1"/>
      <c r="K9" s="1"/>
      <c r="L9" s="1"/>
      <c r="M9" s="1"/>
      <c r="N9" s="1"/>
      <c r="O9" s="1"/>
    </row>
    <row r="10" spans="1:15" x14ac:dyDescent="0.3">
      <c r="A10" s="1"/>
      <c r="B10" s="1"/>
      <c r="C10" s="1"/>
      <c r="D10" s="1"/>
      <c r="E10" s="1"/>
      <c r="F10" s="1"/>
      <c r="G10" s="1"/>
      <c r="H10" s="1"/>
      <c r="I10" s="1"/>
      <c r="J10" s="1"/>
      <c r="K10" s="1"/>
      <c r="L10" s="1"/>
      <c r="M10" s="1"/>
      <c r="N10" s="1"/>
      <c r="O10" s="1"/>
    </row>
    <row r="11" spans="1:15" x14ac:dyDescent="0.3">
      <c r="A11" s="1"/>
      <c r="B11" s="1"/>
      <c r="C11" s="1"/>
      <c r="D11" s="1"/>
      <c r="E11" s="1"/>
      <c r="F11" s="1"/>
      <c r="G11" s="1"/>
      <c r="H11" s="1"/>
      <c r="I11" s="1"/>
      <c r="J11" s="1"/>
      <c r="K11" s="1"/>
      <c r="L11" s="1"/>
      <c r="M11" s="1"/>
      <c r="N11" s="1"/>
      <c r="O11" s="1"/>
    </row>
    <row r="12" spans="1:15" x14ac:dyDescent="0.3">
      <c r="A12" s="1"/>
      <c r="B12" s="1"/>
      <c r="C12" s="1"/>
      <c r="D12" s="1"/>
      <c r="E12" s="1"/>
      <c r="F12" s="1"/>
      <c r="G12" s="1"/>
      <c r="H12" s="1"/>
      <c r="I12" s="1"/>
      <c r="J12" s="1"/>
      <c r="K12" s="1"/>
      <c r="L12" s="1"/>
      <c r="M12" s="1"/>
      <c r="N12" s="1"/>
      <c r="O12" s="1"/>
    </row>
    <row r="13" spans="1:15" x14ac:dyDescent="0.3">
      <c r="A13" s="1"/>
      <c r="B13" s="1"/>
      <c r="C13" s="1"/>
      <c r="D13" s="1"/>
      <c r="E13" s="1"/>
      <c r="F13" s="1"/>
      <c r="G13" s="1"/>
      <c r="H13" s="1"/>
      <c r="I13" s="1"/>
      <c r="J13" s="1"/>
      <c r="K13" s="1"/>
      <c r="L13" s="1"/>
      <c r="M13" s="1"/>
      <c r="N13" s="1"/>
      <c r="O13" s="1"/>
    </row>
    <row r="14" spans="1:15" x14ac:dyDescent="0.3">
      <c r="A14" s="1"/>
      <c r="B14" s="1"/>
      <c r="C14" s="1"/>
      <c r="D14" s="1"/>
      <c r="E14" s="1"/>
      <c r="F14" s="1"/>
      <c r="G14" s="1"/>
      <c r="H14" s="1"/>
      <c r="I14" s="1"/>
      <c r="J14" s="1"/>
      <c r="K14" s="1"/>
      <c r="L14" s="1"/>
      <c r="M14" s="1"/>
      <c r="N14" s="1"/>
      <c r="O14" s="1"/>
    </row>
    <row r="15" spans="1:15" x14ac:dyDescent="0.3">
      <c r="A15" s="1"/>
      <c r="B15" s="1"/>
      <c r="C15" s="1"/>
      <c r="D15" s="1"/>
      <c r="E15" s="1"/>
      <c r="F15" s="1"/>
      <c r="G15" s="1"/>
      <c r="H15" s="1"/>
      <c r="I15" s="1"/>
      <c r="J15" s="1"/>
      <c r="K15" s="1"/>
      <c r="L15" s="1"/>
      <c r="M15" s="1"/>
      <c r="N15" s="1"/>
      <c r="O15" s="1"/>
    </row>
    <row r="16" spans="1:15" x14ac:dyDescent="0.3">
      <c r="A16" s="1"/>
      <c r="B16" s="1"/>
      <c r="C16" s="1"/>
      <c r="D16" s="1"/>
      <c r="E16" s="1"/>
      <c r="F16" s="1"/>
      <c r="G16" s="1"/>
      <c r="H16" s="1"/>
      <c r="I16" s="1"/>
      <c r="J16" s="1"/>
      <c r="K16" s="1"/>
      <c r="L16" s="1"/>
      <c r="M16" s="1"/>
      <c r="N16" s="1"/>
      <c r="O16" s="1"/>
    </row>
    <row r="17" spans="1:19" x14ac:dyDescent="0.3">
      <c r="A17" s="1"/>
      <c r="B17" s="1"/>
      <c r="C17" s="1"/>
      <c r="D17" s="1"/>
      <c r="E17" s="1"/>
      <c r="F17" s="1"/>
      <c r="G17" s="1"/>
      <c r="H17" s="1"/>
      <c r="I17" s="1"/>
      <c r="J17" s="1"/>
      <c r="K17" s="1"/>
      <c r="L17" s="1"/>
      <c r="M17" s="1"/>
      <c r="N17" s="1"/>
      <c r="O17" s="1"/>
    </row>
    <row r="18" spans="1:19" x14ac:dyDescent="0.3">
      <c r="A18" s="1"/>
      <c r="B18" s="1"/>
      <c r="C18" s="1"/>
      <c r="D18" s="1"/>
      <c r="E18" s="1"/>
      <c r="F18" s="1"/>
      <c r="G18" s="1"/>
      <c r="H18" s="1"/>
      <c r="I18" s="1"/>
      <c r="J18" s="1"/>
      <c r="K18" s="1"/>
      <c r="L18" s="1"/>
      <c r="M18" s="1"/>
      <c r="N18" s="1"/>
      <c r="O18" s="1"/>
    </row>
    <row r="19" spans="1:19" x14ac:dyDescent="0.3">
      <c r="A19" s="1"/>
      <c r="B19" s="1"/>
      <c r="C19" s="1"/>
      <c r="D19" s="1"/>
      <c r="E19" s="1"/>
      <c r="F19" s="1"/>
      <c r="G19" s="1"/>
      <c r="H19" s="1"/>
      <c r="I19" s="1"/>
      <c r="J19" s="1"/>
      <c r="K19" s="1"/>
      <c r="L19" s="1"/>
      <c r="M19" s="1"/>
      <c r="N19" s="1"/>
      <c r="O19" s="1"/>
    </row>
    <row r="20" spans="1:19" x14ac:dyDescent="0.3">
      <c r="A20" s="1"/>
      <c r="B20" s="1"/>
      <c r="C20" s="1"/>
      <c r="D20" s="1"/>
      <c r="E20" s="1"/>
      <c r="F20" s="1"/>
      <c r="G20" s="1"/>
      <c r="H20" s="1"/>
      <c r="I20" s="1"/>
      <c r="J20" s="1"/>
      <c r="K20" s="1"/>
      <c r="L20" s="1"/>
      <c r="M20" s="1"/>
      <c r="N20" s="1"/>
      <c r="O20" s="1"/>
    </row>
    <row r="21" spans="1:19" x14ac:dyDescent="0.3">
      <c r="A21" s="1"/>
      <c r="B21" s="1"/>
      <c r="C21" s="1"/>
      <c r="D21" s="1"/>
      <c r="E21" s="1"/>
      <c r="F21" s="1"/>
      <c r="G21" s="1"/>
      <c r="H21" s="1"/>
      <c r="I21" s="1"/>
      <c r="J21" s="1"/>
      <c r="K21" s="1"/>
      <c r="L21" s="1"/>
      <c r="M21" s="1"/>
      <c r="N21" s="1"/>
      <c r="O21" s="1"/>
    </row>
    <row r="22" spans="1:19" x14ac:dyDescent="0.3">
      <c r="A22" s="1"/>
      <c r="B22" s="1"/>
      <c r="C22" s="1"/>
      <c r="D22" s="1"/>
      <c r="E22" s="1"/>
      <c r="F22" s="1"/>
      <c r="G22" s="1"/>
      <c r="H22" s="1"/>
      <c r="I22" s="1"/>
      <c r="J22" s="1"/>
      <c r="K22" s="1"/>
      <c r="L22" s="1"/>
      <c r="M22" s="1"/>
      <c r="N22" s="1"/>
      <c r="O22" s="1"/>
    </row>
    <row r="23" spans="1:19" x14ac:dyDescent="0.3">
      <c r="A23" s="1"/>
      <c r="B23" s="1"/>
      <c r="C23" s="1"/>
      <c r="D23" s="1"/>
      <c r="E23" s="1"/>
      <c r="F23" s="1"/>
      <c r="G23" s="1"/>
      <c r="H23" s="1"/>
      <c r="I23" s="1"/>
      <c r="J23" s="1"/>
      <c r="K23" s="1"/>
      <c r="L23" s="1"/>
      <c r="M23" s="1"/>
      <c r="N23" s="1"/>
      <c r="O23" s="1"/>
    </row>
    <row r="24" spans="1:19" x14ac:dyDescent="0.3">
      <c r="A24" s="1"/>
      <c r="B24" s="1"/>
      <c r="C24" s="1"/>
      <c r="D24" s="1"/>
      <c r="E24" s="1"/>
      <c r="F24" s="1"/>
      <c r="G24" s="1"/>
      <c r="H24" s="1"/>
      <c r="I24" s="1"/>
      <c r="J24" s="1"/>
      <c r="K24" s="1"/>
      <c r="L24" s="1"/>
      <c r="M24" s="1"/>
      <c r="N24" s="1"/>
      <c r="O24" s="1"/>
    </row>
    <row r="25" spans="1:19" x14ac:dyDescent="0.3">
      <c r="A25" s="1"/>
      <c r="B25" s="1"/>
      <c r="C25" s="1"/>
      <c r="D25" s="1"/>
      <c r="E25" s="1"/>
      <c r="F25" s="1"/>
      <c r="G25" s="1"/>
      <c r="H25" s="1"/>
      <c r="I25" s="1"/>
      <c r="J25" s="1"/>
      <c r="K25" s="1"/>
      <c r="L25" s="1"/>
      <c r="M25" s="1"/>
      <c r="N25" s="1"/>
      <c r="O25" s="1"/>
    </row>
    <row r="26" spans="1:19" x14ac:dyDescent="0.3">
      <c r="A26" s="1"/>
      <c r="B26" s="1"/>
      <c r="C26" s="1"/>
      <c r="D26" s="1"/>
      <c r="E26" s="1"/>
      <c r="F26" s="1"/>
      <c r="G26" s="1"/>
      <c r="H26" s="1"/>
      <c r="I26" s="1"/>
      <c r="J26" s="1"/>
      <c r="K26" s="1"/>
      <c r="L26" s="1"/>
      <c r="M26" s="1"/>
      <c r="N26" s="1"/>
      <c r="O26" s="1"/>
    </row>
    <row r="27" spans="1:19" x14ac:dyDescent="0.3">
      <c r="A27" s="1"/>
      <c r="B27" s="1"/>
      <c r="C27" s="1"/>
      <c r="D27" s="1"/>
      <c r="E27" s="1"/>
      <c r="F27" s="1"/>
      <c r="G27" s="1"/>
      <c r="H27" s="1"/>
      <c r="I27" s="1"/>
      <c r="J27" s="1"/>
      <c r="K27" s="1"/>
      <c r="L27" s="1"/>
      <c r="M27" s="1"/>
      <c r="N27" s="1"/>
      <c r="O27" s="1"/>
      <c r="S27">
        <f>GETPIVOTDATA("[Measures].[Distinct Count of Patient Id]",pivotreport!$A$4)</f>
        <v>488</v>
      </c>
    </row>
    <row r="28" spans="1:19" x14ac:dyDescent="0.3">
      <c r="A28" s="1"/>
      <c r="B28" s="1"/>
      <c r="C28" s="1"/>
      <c r="D28" s="1"/>
      <c r="E28" s="1"/>
      <c r="F28" s="1"/>
      <c r="G28" s="1"/>
      <c r="H28" s="1"/>
      <c r="I28" s="1"/>
      <c r="J28" s="1"/>
      <c r="K28" s="1"/>
      <c r="L28" s="1"/>
      <c r="M28" s="1"/>
      <c r="N28" s="1"/>
      <c r="O28" s="1"/>
    </row>
    <row r="29" spans="1:19" x14ac:dyDescent="0.3">
      <c r="A29" s="1"/>
      <c r="B29" s="1"/>
      <c r="C29" s="1"/>
      <c r="D29" s="1"/>
      <c r="E29" s="1"/>
      <c r="F29" s="1"/>
      <c r="G29" s="1"/>
      <c r="H29" s="1"/>
      <c r="I29" s="1"/>
      <c r="J29" s="1"/>
      <c r="K29" s="1"/>
      <c r="L29" s="1"/>
      <c r="M29" s="1"/>
      <c r="N29" s="1"/>
      <c r="O29" s="1"/>
    </row>
    <row r="30" spans="1:19" x14ac:dyDescent="0.3">
      <c r="A30" s="1"/>
      <c r="B30" s="1"/>
      <c r="C30" s="1"/>
      <c r="D30" s="1"/>
      <c r="E30" s="1"/>
      <c r="F30" s="1"/>
      <c r="G30" s="1"/>
      <c r="H30" s="1"/>
      <c r="I30" s="1"/>
      <c r="J30" s="1"/>
      <c r="K30" s="1"/>
      <c r="L30" s="1"/>
      <c r="M30" s="1"/>
      <c r="N30" s="1"/>
      <c r="O30" s="1"/>
    </row>
    <row r="31" spans="1:19" x14ac:dyDescent="0.3">
      <c r="A31" s="1"/>
      <c r="B31" s="1"/>
      <c r="C31" s="1"/>
      <c r="D31" s="1"/>
      <c r="E31" s="1"/>
      <c r="F31" s="1"/>
      <c r="G31" s="1"/>
      <c r="H31" s="1"/>
      <c r="I31" s="1"/>
      <c r="J31" s="1"/>
      <c r="K31" s="1"/>
      <c r="L31" s="1"/>
      <c r="M31" s="1"/>
      <c r="N31" s="1"/>
      <c r="O31" s="1"/>
    </row>
    <row r="32" spans="1:19" x14ac:dyDescent="0.3">
      <c r="A32" s="1"/>
      <c r="B32" s="1"/>
      <c r="C32" s="1"/>
      <c r="D32" s="1"/>
      <c r="E32" s="1"/>
      <c r="F32" s="1"/>
      <c r="G32" s="1"/>
      <c r="H32" s="1"/>
      <c r="I32" s="1"/>
      <c r="J32" s="1"/>
      <c r="K32" s="1"/>
      <c r="L32" s="1"/>
      <c r="M32" s="1"/>
      <c r="N32" s="1"/>
      <c r="O32" s="1"/>
    </row>
    <row r="33" spans="1:15" x14ac:dyDescent="0.3">
      <c r="A33" s="1"/>
      <c r="B33" s="1"/>
      <c r="C33" s="1"/>
      <c r="D33" s="1"/>
      <c r="E33" s="1"/>
      <c r="F33" s="1"/>
      <c r="G33" s="1"/>
      <c r="H33" s="1"/>
      <c r="I33" s="1"/>
      <c r="J33" s="1"/>
      <c r="K33" s="1"/>
      <c r="L33" s="1"/>
      <c r="M33" s="1"/>
      <c r="N33" s="1"/>
      <c r="O33" s="1"/>
    </row>
    <row r="34" spans="1:15" x14ac:dyDescent="0.3">
      <c r="A34" s="1"/>
      <c r="B34" s="1"/>
      <c r="C34" s="1"/>
      <c r="D34" s="1"/>
      <c r="E34" s="1"/>
      <c r="F34" s="1"/>
      <c r="G34" s="1"/>
      <c r="H34" s="1"/>
      <c r="I34" s="1"/>
      <c r="J34" s="1"/>
      <c r="K34" s="1"/>
      <c r="L34" s="1"/>
      <c r="M34" s="1"/>
      <c r="N34" s="1"/>
      <c r="O34" s="1"/>
    </row>
    <row r="35" spans="1:15" x14ac:dyDescent="0.3">
      <c r="A35" s="1"/>
      <c r="B35" s="1"/>
      <c r="C35" s="1"/>
      <c r="D35" s="1"/>
      <c r="E35" s="1"/>
      <c r="F35" s="1"/>
      <c r="G35" s="1"/>
      <c r="H35" s="1"/>
      <c r="I35" s="1"/>
      <c r="J35" s="1"/>
      <c r="K35" s="1"/>
      <c r="L35" s="1"/>
      <c r="M35" s="1"/>
      <c r="N35" s="1"/>
      <c r="O35" s="1"/>
    </row>
    <row r="36" spans="1:15" x14ac:dyDescent="0.3">
      <c r="A36" s="1"/>
      <c r="B36" s="1"/>
      <c r="C36" s="1"/>
      <c r="D36" s="1"/>
      <c r="E36" s="1"/>
      <c r="F36" s="1"/>
      <c r="G36" s="1"/>
      <c r="H36" s="1"/>
      <c r="I36" s="1"/>
      <c r="J36" s="1"/>
      <c r="K36" s="1"/>
      <c r="L36" s="1"/>
      <c r="M36" s="1"/>
      <c r="N36" s="1"/>
      <c r="O36" s="1"/>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0C7-3C77-4390-B0AA-7F104259D51F}">
  <dimension ref="C16:M39"/>
  <sheetViews>
    <sheetView topLeftCell="A3" zoomScale="50" workbookViewId="0"/>
  </sheetViews>
  <sheetFormatPr defaultRowHeight="14.4" x14ac:dyDescent="0.3"/>
  <sheetData>
    <row r="16" spans="3:13" x14ac:dyDescent="0.3">
      <c r="C16" s="6"/>
      <c r="D16" s="6"/>
      <c r="E16" s="6"/>
      <c r="F16" s="6"/>
      <c r="G16" s="6"/>
      <c r="H16" s="6"/>
      <c r="I16" s="6"/>
      <c r="J16" s="6"/>
      <c r="K16" s="6"/>
      <c r="L16" s="6"/>
      <c r="M16" s="6"/>
    </row>
    <row r="17" spans="3:13" x14ac:dyDescent="0.3">
      <c r="C17" s="6"/>
      <c r="D17" s="6"/>
      <c r="E17" s="6"/>
      <c r="F17" s="6"/>
      <c r="G17" s="6"/>
      <c r="H17" s="6"/>
      <c r="I17" s="6"/>
      <c r="J17" s="6"/>
      <c r="K17" s="6"/>
      <c r="L17" s="6"/>
      <c r="M17" s="6"/>
    </row>
    <row r="18" spans="3:13" x14ac:dyDescent="0.3">
      <c r="C18" s="6"/>
      <c r="D18" s="6"/>
      <c r="E18" s="6"/>
      <c r="F18" s="6"/>
      <c r="G18" s="6"/>
      <c r="H18" s="6"/>
      <c r="I18" s="6"/>
      <c r="J18" s="6"/>
      <c r="K18" s="6"/>
      <c r="L18" s="6"/>
      <c r="M18" s="6"/>
    </row>
    <row r="19" spans="3:13" x14ac:dyDescent="0.3">
      <c r="C19" s="6"/>
      <c r="D19" s="6"/>
      <c r="E19" s="6"/>
      <c r="F19" s="6"/>
      <c r="G19" s="6"/>
      <c r="H19" s="6"/>
      <c r="I19" s="6"/>
      <c r="J19" s="6"/>
      <c r="K19" s="6"/>
      <c r="L19" s="6"/>
      <c r="M19" s="6"/>
    </row>
    <row r="20" spans="3:13" x14ac:dyDescent="0.3">
      <c r="C20" s="6"/>
      <c r="D20" s="6"/>
      <c r="E20" s="6"/>
      <c r="F20" s="6"/>
      <c r="G20" s="6"/>
      <c r="H20" s="6"/>
      <c r="I20" s="6"/>
      <c r="J20" s="6"/>
      <c r="K20" s="6"/>
      <c r="L20" s="6"/>
      <c r="M20" s="6"/>
    </row>
    <row r="21" spans="3:13" x14ac:dyDescent="0.3">
      <c r="C21" s="6"/>
      <c r="D21" s="6"/>
      <c r="E21" s="6"/>
      <c r="F21" s="6"/>
      <c r="G21" s="6"/>
      <c r="H21" s="6"/>
      <c r="I21" s="6"/>
      <c r="J21" s="6"/>
      <c r="K21" s="6"/>
      <c r="L21" s="6"/>
      <c r="M21" s="6"/>
    </row>
    <row r="22" spans="3:13" x14ac:dyDescent="0.3">
      <c r="C22" s="6"/>
      <c r="D22" s="6"/>
      <c r="E22" s="6"/>
      <c r="F22" s="6"/>
      <c r="G22" s="6"/>
      <c r="H22" s="6"/>
      <c r="I22" s="6"/>
      <c r="J22" s="6"/>
      <c r="K22" s="6"/>
      <c r="L22" s="6"/>
      <c r="M22" s="6"/>
    </row>
    <row r="23" spans="3:13" x14ac:dyDescent="0.3">
      <c r="C23" s="6"/>
      <c r="D23" s="6"/>
      <c r="E23" s="6"/>
      <c r="F23" s="6"/>
      <c r="G23" s="6"/>
      <c r="H23" s="6"/>
      <c r="I23" s="6"/>
      <c r="J23" s="6"/>
      <c r="K23" s="6"/>
      <c r="L23" s="6"/>
      <c r="M23" s="6"/>
    </row>
    <row r="24" spans="3:13" x14ac:dyDescent="0.3">
      <c r="C24" s="6"/>
      <c r="D24" s="6"/>
      <c r="E24" s="6"/>
      <c r="F24" s="6"/>
      <c r="G24" s="6"/>
      <c r="H24" s="6"/>
      <c r="I24" s="6"/>
      <c r="J24" s="6"/>
      <c r="K24" s="6"/>
      <c r="L24" s="6"/>
      <c r="M24" s="6"/>
    </row>
    <row r="25" spans="3:13" x14ac:dyDescent="0.3">
      <c r="C25" s="6"/>
      <c r="D25" s="6"/>
      <c r="E25" s="6"/>
      <c r="F25" s="6"/>
      <c r="G25" s="6"/>
      <c r="H25" s="6"/>
      <c r="I25" s="6"/>
      <c r="J25" s="6"/>
      <c r="K25" s="6"/>
      <c r="L25" s="6"/>
      <c r="M25" s="6"/>
    </row>
    <row r="26" spans="3:13" x14ac:dyDescent="0.3">
      <c r="C26" s="6"/>
      <c r="D26" s="6"/>
      <c r="E26" s="6"/>
      <c r="F26" s="6"/>
      <c r="G26" s="6"/>
      <c r="H26" s="6"/>
      <c r="I26" s="6"/>
      <c r="J26" s="6"/>
      <c r="K26" s="6"/>
      <c r="L26" s="6"/>
      <c r="M26" s="6"/>
    </row>
    <row r="27" spans="3:13" x14ac:dyDescent="0.3">
      <c r="C27" s="6"/>
      <c r="D27" s="6"/>
      <c r="E27" s="6"/>
      <c r="F27" s="6"/>
      <c r="G27" s="6"/>
      <c r="H27" s="6"/>
      <c r="I27" s="6"/>
      <c r="J27" s="6"/>
      <c r="K27" s="6"/>
      <c r="L27" s="6"/>
      <c r="M27" s="6"/>
    </row>
    <row r="28" spans="3:13" x14ac:dyDescent="0.3">
      <c r="C28" s="6"/>
      <c r="D28" s="6"/>
      <c r="E28" s="6"/>
      <c r="F28" s="6"/>
      <c r="G28" s="6"/>
      <c r="H28" s="6"/>
      <c r="I28" s="6"/>
      <c r="J28" s="6"/>
      <c r="K28" s="6"/>
      <c r="L28" s="6"/>
      <c r="M28" s="6"/>
    </row>
    <row r="29" spans="3:13" x14ac:dyDescent="0.3">
      <c r="C29" s="6"/>
      <c r="D29" s="6"/>
      <c r="E29" s="6"/>
      <c r="F29" s="6"/>
      <c r="G29" s="6"/>
      <c r="H29" s="6"/>
      <c r="I29" s="6"/>
      <c r="J29" s="6"/>
      <c r="K29" s="6"/>
      <c r="L29" s="6"/>
      <c r="M29" s="6"/>
    </row>
    <row r="30" spans="3:13" x14ac:dyDescent="0.3">
      <c r="C30" s="6"/>
      <c r="D30" s="6"/>
      <c r="E30" s="6"/>
      <c r="F30" s="6"/>
      <c r="G30" s="6"/>
      <c r="H30" s="6"/>
      <c r="I30" s="6"/>
      <c r="J30" s="6"/>
      <c r="K30" s="6"/>
      <c r="L30" s="6"/>
      <c r="M30" s="6"/>
    </row>
    <row r="31" spans="3:13" x14ac:dyDescent="0.3">
      <c r="C31" s="6"/>
      <c r="D31" s="6"/>
      <c r="E31" s="6"/>
      <c r="F31" s="6"/>
      <c r="G31" s="6"/>
      <c r="H31" s="6"/>
      <c r="I31" s="6"/>
      <c r="J31" s="6"/>
      <c r="K31" s="6"/>
      <c r="L31" s="6"/>
      <c r="M31" s="6"/>
    </row>
    <row r="32" spans="3:13" x14ac:dyDescent="0.3">
      <c r="C32" s="6"/>
      <c r="D32" s="6"/>
      <c r="E32" s="6"/>
      <c r="F32" s="6"/>
      <c r="G32" s="6"/>
      <c r="H32" s="6"/>
      <c r="I32" s="6"/>
      <c r="J32" s="6"/>
      <c r="K32" s="6"/>
      <c r="L32" s="6"/>
      <c r="M32" s="6"/>
    </row>
    <row r="33" spans="3:13" x14ac:dyDescent="0.3">
      <c r="C33" s="6"/>
      <c r="D33" s="6"/>
      <c r="E33" s="6"/>
      <c r="F33" s="6"/>
      <c r="G33" s="6"/>
      <c r="H33" s="6"/>
      <c r="I33" s="6"/>
      <c r="J33" s="6"/>
      <c r="K33" s="6"/>
      <c r="L33" s="6"/>
      <c r="M33" s="6"/>
    </row>
    <row r="34" spans="3:13" x14ac:dyDescent="0.3">
      <c r="C34" s="6"/>
      <c r="D34" s="6"/>
      <c r="E34" s="6"/>
      <c r="F34" s="6"/>
      <c r="G34" s="6"/>
      <c r="H34" s="6"/>
      <c r="I34" s="6"/>
      <c r="J34" s="6"/>
      <c r="K34" s="6"/>
      <c r="L34" s="6"/>
      <c r="M34" s="6"/>
    </row>
    <row r="35" spans="3:13" x14ac:dyDescent="0.3">
      <c r="C35" s="6"/>
      <c r="D35" s="6"/>
      <c r="E35" s="6"/>
      <c r="F35" s="6"/>
      <c r="G35" s="6"/>
      <c r="H35" s="6"/>
      <c r="I35" s="6"/>
      <c r="J35" s="6"/>
      <c r="K35" s="6"/>
      <c r="L35" s="6"/>
      <c r="M35" s="6"/>
    </row>
    <row r="36" spans="3:13" x14ac:dyDescent="0.3">
      <c r="C36" s="6"/>
      <c r="D36" s="6"/>
      <c r="E36" s="6"/>
      <c r="F36" s="6"/>
      <c r="G36" s="6"/>
      <c r="H36" s="6"/>
      <c r="I36" s="6"/>
      <c r="J36" s="6"/>
      <c r="K36" s="6"/>
      <c r="L36" s="6"/>
      <c r="M36" s="6"/>
    </row>
    <row r="37" spans="3:13" x14ac:dyDescent="0.3">
      <c r="C37" s="6"/>
      <c r="D37" s="6"/>
      <c r="E37" s="6"/>
      <c r="F37" s="6"/>
      <c r="G37" s="6"/>
      <c r="H37" s="6"/>
      <c r="I37" s="6"/>
      <c r="J37" s="6"/>
      <c r="K37" s="6"/>
      <c r="L37" s="6"/>
      <c r="M37" s="6"/>
    </row>
    <row r="39" spans="3:13" x14ac:dyDescent="0.3">
      <c r="E39" t="s">
        <v>32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463D-FFA0-435D-8330-65CD366731DC}">
  <dimension ref="A2:S23"/>
  <sheetViews>
    <sheetView topLeftCell="J1" zoomScale="57" workbookViewId="0"/>
  </sheetViews>
  <sheetFormatPr defaultRowHeight="14.4" x14ac:dyDescent="0.3"/>
  <sheetData>
    <row r="2" spans="1:19" x14ac:dyDescent="0.3">
      <c r="A2" s="6"/>
      <c r="B2" s="6"/>
      <c r="C2" s="6"/>
      <c r="D2" s="6"/>
      <c r="E2" s="6"/>
      <c r="F2" s="6"/>
      <c r="G2" s="6"/>
      <c r="H2" s="6"/>
      <c r="I2" s="6"/>
      <c r="J2" s="6"/>
      <c r="K2" s="6"/>
      <c r="L2" s="6"/>
      <c r="M2" s="6"/>
      <c r="N2" s="6"/>
      <c r="O2" s="6"/>
      <c r="P2" s="6"/>
      <c r="Q2" s="6"/>
      <c r="R2" s="6"/>
      <c r="S2" s="6"/>
    </row>
    <row r="3" spans="1:19" x14ac:dyDescent="0.3">
      <c r="A3" s="6"/>
      <c r="B3" s="6"/>
      <c r="C3" s="6"/>
      <c r="D3" s="6"/>
      <c r="E3" s="6"/>
      <c r="F3" s="6"/>
      <c r="G3" s="6"/>
      <c r="H3" s="6"/>
      <c r="I3" s="6"/>
      <c r="J3" s="6"/>
      <c r="K3" s="6"/>
      <c r="L3" s="6"/>
      <c r="M3" s="6"/>
      <c r="N3" s="6"/>
      <c r="O3" s="6"/>
      <c r="P3" s="6"/>
      <c r="Q3" s="6"/>
      <c r="R3" s="6"/>
      <c r="S3" s="6"/>
    </row>
    <row r="4" spans="1:19" x14ac:dyDescent="0.3">
      <c r="A4" s="6"/>
      <c r="B4" s="6"/>
      <c r="C4" s="6"/>
      <c r="D4" s="6"/>
      <c r="E4" s="6"/>
      <c r="F4" s="6"/>
      <c r="G4" s="6"/>
      <c r="H4" s="6"/>
      <c r="I4" s="6"/>
      <c r="J4" s="6"/>
      <c r="K4" s="6"/>
      <c r="L4" s="6"/>
      <c r="M4" s="6"/>
      <c r="N4" s="6"/>
      <c r="O4" s="6"/>
      <c r="P4" s="6"/>
      <c r="Q4" s="6"/>
      <c r="R4" s="6"/>
      <c r="S4" s="6"/>
    </row>
    <row r="5" spans="1:19" x14ac:dyDescent="0.3">
      <c r="A5" s="6"/>
      <c r="B5" s="6"/>
      <c r="C5" s="6"/>
      <c r="D5" s="6"/>
      <c r="E5" s="6"/>
      <c r="F5" s="6"/>
      <c r="G5" s="6"/>
      <c r="H5" s="6"/>
      <c r="I5" s="6"/>
      <c r="J5" s="6"/>
      <c r="K5" s="6"/>
      <c r="L5" s="6"/>
      <c r="M5" s="6"/>
      <c r="N5" s="6"/>
      <c r="O5" s="6"/>
      <c r="P5" s="6"/>
      <c r="Q5" s="6"/>
      <c r="R5" s="6"/>
      <c r="S5" s="6"/>
    </row>
    <row r="6" spans="1:19" x14ac:dyDescent="0.3">
      <c r="A6" s="6"/>
      <c r="B6" s="6"/>
      <c r="C6" s="6"/>
      <c r="D6" s="6"/>
      <c r="E6" s="6"/>
      <c r="F6" s="6"/>
      <c r="G6" s="6"/>
      <c r="H6" s="6"/>
      <c r="I6" s="6"/>
      <c r="J6" s="6"/>
      <c r="K6" s="6"/>
      <c r="L6" s="6"/>
      <c r="M6" s="6"/>
      <c r="N6" s="6"/>
      <c r="O6" s="6"/>
      <c r="P6" s="6"/>
      <c r="Q6" s="6"/>
      <c r="R6" s="6"/>
      <c r="S6" s="6"/>
    </row>
    <row r="7" spans="1:19" x14ac:dyDescent="0.3">
      <c r="A7" s="6"/>
      <c r="B7" s="6"/>
      <c r="C7" s="6"/>
      <c r="D7" s="6"/>
      <c r="E7" s="6"/>
      <c r="F7" s="6"/>
      <c r="G7" s="6"/>
      <c r="H7" s="6"/>
      <c r="I7" s="6"/>
      <c r="J7" s="6"/>
      <c r="K7" s="6"/>
      <c r="L7" s="6"/>
      <c r="M7" s="6"/>
      <c r="N7" s="6"/>
      <c r="O7" s="6"/>
      <c r="P7" s="6"/>
      <c r="Q7" s="6"/>
      <c r="R7" s="6"/>
      <c r="S7" s="6"/>
    </row>
    <row r="8" spans="1:19" x14ac:dyDescent="0.3">
      <c r="A8" s="6"/>
      <c r="B8" s="6"/>
      <c r="C8" s="6"/>
      <c r="D8" s="6"/>
      <c r="E8" s="6"/>
      <c r="F8" s="6"/>
      <c r="G8" s="6"/>
      <c r="H8" s="6"/>
      <c r="I8" s="6"/>
      <c r="J8" s="6"/>
      <c r="K8" s="6"/>
      <c r="L8" s="6"/>
      <c r="M8" s="6"/>
      <c r="N8" s="6"/>
      <c r="O8" s="6"/>
      <c r="P8" s="6"/>
      <c r="Q8" s="6"/>
      <c r="R8" s="6"/>
      <c r="S8" s="6"/>
    </row>
    <row r="9" spans="1:19" x14ac:dyDescent="0.3">
      <c r="A9" s="6"/>
      <c r="B9" s="6"/>
      <c r="C9" s="6"/>
      <c r="D9" s="6"/>
      <c r="E9" s="6"/>
      <c r="F9" s="6"/>
      <c r="G9" s="6"/>
      <c r="H9" s="6"/>
      <c r="I9" s="6"/>
      <c r="J9" s="6"/>
      <c r="K9" s="6"/>
      <c r="L9" s="6"/>
      <c r="M9" s="6"/>
      <c r="N9" s="6"/>
      <c r="O9" s="6"/>
      <c r="P9" s="6"/>
      <c r="Q9" s="6"/>
      <c r="R9" s="6"/>
      <c r="S9" s="6"/>
    </row>
    <row r="10" spans="1:19" x14ac:dyDescent="0.3">
      <c r="A10" s="6"/>
      <c r="B10" s="6"/>
      <c r="C10" s="6"/>
      <c r="D10" s="6"/>
      <c r="E10" s="6"/>
      <c r="F10" s="6"/>
      <c r="G10" s="6"/>
      <c r="H10" s="6"/>
      <c r="I10" s="6"/>
      <c r="J10" s="6"/>
      <c r="K10" s="6"/>
      <c r="L10" s="6"/>
      <c r="M10" s="6"/>
      <c r="N10" s="6"/>
      <c r="O10" s="6"/>
      <c r="P10" s="6"/>
      <c r="Q10" s="6"/>
      <c r="R10" s="6"/>
      <c r="S10" s="6"/>
    </row>
    <row r="11" spans="1:19" x14ac:dyDescent="0.3">
      <c r="A11" s="6"/>
      <c r="B11" s="6"/>
      <c r="C11" s="6"/>
      <c r="D11" s="6"/>
      <c r="E11" s="6"/>
      <c r="F11" s="6"/>
      <c r="G11" s="6"/>
      <c r="H11" s="6"/>
      <c r="I11" s="6"/>
      <c r="J11" s="6"/>
      <c r="K11" s="6"/>
      <c r="L11" s="6"/>
      <c r="M11" s="6"/>
      <c r="N11" s="6"/>
      <c r="O11" s="6"/>
      <c r="P11" s="6"/>
      <c r="Q11" s="6"/>
      <c r="R11" s="6"/>
      <c r="S11" s="6"/>
    </row>
    <row r="12" spans="1:19" x14ac:dyDescent="0.3">
      <c r="A12" s="6"/>
      <c r="B12" s="6"/>
      <c r="C12" s="6"/>
      <c r="D12" s="6"/>
      <c r="E12" s="6"/>
      <c r="F12" s="6"/>
      <c r="G12" s="6"/>
      <c r="H12" s="6"/>
      <c r="I12" s="6"/>
      <c r="J12" s="6"/>
      <c r="K12" s="6"/>
      <c r="L12" s="6"/>
      <c r="M12" s="6"/>
      <c r="N12" s="6"/>
      <c r="O12" s="6"/>
      <c r="P12" s="6"/>
      <c r="Q12" s="6"/>
      <c r="R12" s="6"/>
      <c r="S12" s="6"/>
    </row>
    <row r="13" spans="1:19" x14ac:dyDescent="0.3">
      <c r="A13" s="6"/>
      <c r="B13" s="6"/>
      <c r="C13" s="6"/>
      <c r="D13" s="6"/>
      <c r="E13" s="6"/>
      <c r="F13" s="6"/>
      <c r="G13" s="6"/>
      <c r="H13" s="6"/>
      <c r="I13" s="6"/>
      <c r="J13" s="6"/>
      <c r="K13" s="6"/>
      <c r="L13" s="6"/>
      <c r="M13" s="6"/>
      <c r="N13" s="6"/>
      <c r="O13" s="6"/>
      <c r="P13" s="6"/>
      <c r="Q13" s="6"/>
      <c r="R13" s="6"/>
      <c r="S13" s="6"/>
    </row>
    <row r="14" spans="1:19" x14ac:dyDescent="0.3">
      <c r="A14" s="6"/>
      <c r="B14" s="6"/>
      <c r="C14" s="6"/>
      <c r="D14" s="6"/>
      <c r="E14" s="6"/>
      <c r="F14" s="6"/>
      <c r="G14" s="6"/>
      <c r="H14" s="6"/>
      <c r="I14" s="6"/>
      <c r="J14" s="6"/>
      <c r="K14" s="6"/>
      <c r="L14" s="6"/>
      <c r="M14" s="6"/>
      <c r="N14" s="6"/>
      <c r="O14" s="6"/>
      <c r="P14" s="6"/>
      <c r="Q14" s="6"/>
      <c r="R14" s="6"/>
      <c r="S14" s="6"/>
    </row>
    <row r="15" spans="1:19" x14ac:dyDescent="0.3">
      <c r="A15" s="6"/>
      <c r="B15" s="6"/>
      <c r="C15" s="6"/>
      <c r="D15" s="6"/>
      <c r="E15" s="6"/>
      <c r="F15" s="6"/>
      <c r="G15" s="6"/>
      <c r="H15" s="6"/>
      <c r="I15" s="6"/>
      <c r="J15" s="6"/>
      <c r="K15" s="6"/>
      <c r="L15" s="6"/>
      <c r="M15" s="6"/>
      <c r="N15" s="6"/>
      <c r="O15" s="6"/>
      <c r="P15" s="6"/>
      <c r="Q15" s="6"/>
      <c r="R15" s="6"/>
      <c r="S15" s="6"/>
    </row>
    <row r="16" spans="1:19" x14ac:dyDescent="0.3">
      <c r="A16" s="6"/>
      <c r="B16" s="6"/>
      <c r="C16" s="6"/>
      <c r="D16" s="6"/>
      <c r="E16" s="6"/>
      <c r="F16" s="6"/>
      <c r="G16" s="6"/>
      <c r="H16" s="6"/>
      <c r="I16" s="6"/>
      <c r="J16" s="6"/>
      <c r="K16" s="6"/>
      <c r="L16" s="6"/>
      <c r="M16" s="6"/>
      <c r="N16" s="6"/>
      <c r="O16" s="6"/>
      <c r="P16" s="6"/>
      <c r="Q16" s="6"/>
      <c r="R16" s="6"/>
      <c r="S16" s="6"/>
    </row>
    <row r="17" spans="1:19" x14ac:dyDescent="0.3">
      <c r="A17" s="6"/>
      <c r="B17" s="6"/>
      <c r="C17" s="6"/>
      <c r="D17" s="6"/>
      <c r="E17" s="6"/>
      <c r="F17" s="6"/>
      <c r="G17" s="6"/>
      <c r="H17" s="6"/>
      <c r="I17" s="6"/>
      <c r="J17" s="6"/>
      <c r="K17" s="6"/>
      <c r="L17" s="6"/>
      <c r="M17" s="6"/>
      <c r="N17" s="6"/>
      <c r="O17" s="6"/>
      <c r="P17" s="6"/>
      <c r="Q17" s="6"/>
      <c r="R17" s="6"/>
      <c r="S17" s="6"/>
    </row>
    <row r="18" spans="1:19" x14ac:dyDescent="0.3">
      <c r="A18" s="6"/>
      <c r="B18" s="6"/>
      <c r="C18" s="6"/>
      <c r="D18" s="6"/>
      <c r="E18" s="6"/>
      <c r="F18" s="6"/>
      <c r="G18" s="6"/>
      <c r="H18" s="6"/>
      <c r="I18" s="6"/>
      <c r="J18" s="6"/>
      <c r="K18" s="6"/>
      <c r="L18" s="6"/>
      <c r="M18" s="6"/>
      <c r="N18" s="6"/>
      <c r="O18" s="6"/>
      <c r="P18" s="6"/>
      <c r="Q18" s="6"/>
      <c r="R18" s="6"/>
      <c r="S18" s="6"/>
    </row>
    <row r="19" spans="1:19" x14ac:dyDescent="0.3">
      <c r="A19" s="6"/>
      <c r="B19" s="6"/>
      <c r="C19" s="6"/>
      <c r="D19" s="6"/>
      <c r="E19" s="6"/>
      <c r="F19" s="6"/>
      <c r="G19" s="6"/>
      <c r="H19" s="6"/>
      <c r="I19" s="6"/>
      <c r="J19" s="6"/>
      <c r="K19" s="6"/>
      <c r="L19" s="6"/>
      <c r="M19" s="6"/>
      <c r="N19" s="6"/>
      <c r="O19" s="6"/>
      <c r="P19" s="6"/>
      <c r="Q19" s="6"/>
      <c r="R19" s="6"/>
      <c r="S19" s="6"/>
    </row>
    <row r="20" spans="1:19" x14ac:dyDescent="0.3">
      <c r="A20" s="6"/>
      <c r="B20" s="6"/>
      <c r="C20" s="6"/>
      <c r="D20" s="6"/>
      <c r="E20" s="6"/>
      <c r="F20" s="6"/>
      <c r="G20" s="6"/>
      <c r="H20" s="6"/>
      <c r="I20" s="6"/>
      <c r="J20" s="6"/>
      <c r="K20" s="6"/>
      <c r="L20" s="6"/>
      <c r="M20" s="6"/>
      <c r="N20" s="6"/>
      <c r="O20" s="6"/>
      <c r="P20" s="6"/>
      <c r="Q20" s="6"/>
      <c r="R20" s="6"/>
      <c r="S20" s="6"/>
    </row>
    <row r="21" spans="1:19" x14ac:dyDescent="0.3">
      <c r="A21" s="6"/>
      <c r="B21" s="6"/>
      <c r="C21" s="6"/>
      <c r="D21" s="6"/>
      <c r="E21" s="6"/>
      <c r="F21" s="6"/>
      <c r="G21" s="6"/>
      <c r="H21" s="6"/>
      <c r="I21" s="6"/>
      <c r="J21" s="6"/>
      <c r="K21" s="6"/>
      <c r="L21" s="6"/>
      <c r="M21" s="6"/>
      <c r="N21" s="6"/>
      <c r="O21" s="6"/>
      <c r="P21" s="6"/>
      <c r="Q21" s="6"/>
      <c r="R21" s="6"/>
      <c r="S21" s="6"/>
    </row>
    <row r="22" spans="1:19" x14ac:dyDescent="0.3">
      <c r="A22" s="6"/>
      <c r="B22" s="6"/>
      <c r="C22" s="6"/>
      <c r="D22" s="6"/>
      <c r="E22" s="6"/>
      <c r="F22" s="6"/>
      <c r="G22" s="6"/>
      <c r="H22" s="6"/>
      <c r="I22" s="6"/>
      <c r="J22" s="6"/>
      <c r="K22" s="6"/>
      <c r="L22" s="6"/>
      <c r="M22" s="6"/>
      <c r="N22" s="6"/>
      <c r="O22" s="6"/>
      <c r="P22" s="6"/>
      <c r="Q22" s="6"/>
      <c r="R22" s="6"/>
      <c r="S22" s="6"/>
    </row>
    <row r="23" spans="1:19" x14ac:dyDescent="0.3">
      <c r="A23" s="6"/>
      <c r="B23" s="6"/>
      <c r="C23" s="6"/>
      <c r="D23" s="6"/>
      <c r="E23" s="6"/>
      <c r="F23" s="6" t="s">
        <v>33</v>
      </c>
      <c r="G23" s="6"/>
      <c r="H23" s="6"/>
      <c r="I23" s="6"/>
      <c r="J23" s="6"/>
      <c r="K23" s="6"/>
      <c r="L23" s="6"/>
      <c r="M23" s="6"/>
      <c r="N23" s="6"/>
      <c r="O23" s="6"/>
      <c r="P23" s="6"/>
      <c r="Q23" s="6"/>
      <c r="R23" s="6"/>
      <c r="S23"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EEA80-DBF7-463E-A84C-D198AAD25F2E}">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84D8116-6627-4DE8-9153-E26D8B174BA4}">
  <ds:schemaRefs/>
</ds:datastoreItem>
</file>

<file path=customXml/itemProps2.xml><?xml version="1.0" encoding="utf-8"?>
<ds:datastoreItem xmlns:ds="http://schemas.openxmlformats.org/officeDocument/2006/customXml" ds:itemID="{CCA0AA08-CCA5-4FE9-8E4D-FEDF86B014FE}">
  <ds:schemaRefs>
    <ds:schemaRef ds:uri="http://schemas.microsoft.com/DataMashup"/>
  </ds:schemaRefs>
</ds:datastoreItem>
</file>

<file path=customXml/itemProps3.xml><?xml version="1.0" encoding="utf-8"?>
<ds:datastoreItem xmlns:ds="http://schemas.openxmlformats.org/officeDocument/2006/customXml" ds:itemID="{929452B6-99FF-48DA-AA14-6F53420F1788}">
  <ds:schemaRefs/>
</ds:datastoreItem>
</file>

<file path=customXml/itemProps4.xml><?xml version="1.0" encoding="utf-8"?>
<ds:datastoreItem xmlns:ds="http://schemas.openxmlformats.org/officeDocument/2006/customXml" ds:itemID="{C3055A12-978F-48A1-916E-4629E627D0CE}">
  <ds:schemaRefs/>
</ds:datastoreItem>
</file>

<file path=customXml/itemProps5.xml><?xml version="1.0" encoding="utf-8"?>
<ds:datastoreItem xmlns:ds="http://schemas.openxmlformats.org/officeDocument/2006/customXml" ds:itemID="{923F3459-A52E-4221-A89D-9355D2DE28F1}">
  <ds:schemaRefs/>
</ds:datastoreItem>
</file>

<file path=customXml/itemProps6.xml><?xml version="1.0" encoding="utf-8"?>
<ds:datastoreItem xmlns:ds="http://schemas.openxmlformats.org/officeDocument/2006/customXml" ds:itemID="{38844714-A7B1-46D1-9B72-DC0F8DF26DA6}">
  <ds:schemaRefs/>
</ds:datastoreItem>
</file>

<file path=customXml/itemProps7.xml><?xml version="1.0" encoding="utf-8"?>
<ds:datastoreItem xmlns:ds="http://schemas.openxmlformats.org/officeDocument/2006/customXml" ds:itemID="{C133933F-E37E-4508-BBD6-4C586DCA9012}">
  <ds:schemaRefs/>
</ds:datastoreItem>
</file>

<file path=customXml/itemProps8.xml><?xml version="1.0" encoding="utf-8"?>
<ds:datastoreItem xmlns:ds="http://schemas.openxmlformats.org/officeDocument/2006/customXml" ds:itemID="{8DF48348-E399-4813-8A76-536CEB9B3301}">
  <ds:schemaRefs/>
</ds:datastoreItem>
</file>

<file path=customXml/itemProps9.xml><?xml version="1.0" encoding="utf-8"?>
<ds:datastoreItem xmlns:ds="http://schemas.openxmlformats.org/officeDocument/2006/customXml" ds:itemID="{AF788C95-466B-4236-A4BA-E08D98E4A8B9}">
  <ds:schemaRefs/>
</ds:datastoreItem>
</file>

<file path=customXml/itemProps10.xml><?xml version="1.0" encoding="utf-8"?>
<ds:datastoreItem xmlns:ds="http://schemas.openxmlformats.org/officeDocument/2006/customXml" ds:itemID="{7B7CC64D-CA2C-44D9-9137-F73B065C76AF}">
  <ds:schemaRefs/>
</ds:datastoreItem>
</file>

<file path=customXml/itemProps11.xml><?xml version="1.0" encoding="utf-8"?>
<ds:datastoreItem xmlns:ds="http://schemas.openxmlformats.org/officeDocument/2006/customXml" ds:itemID="{EF39EDBA-0D2A-4127-8863-457BB5ADE370}">
  <ds:schemaRefs/>
</ds:datastoreItem>
</file>

<file path=customXml/itemProps12.xml><?xml version="1.0" encoding="utf-8"?>
<ds:datastoreItem xmlns:ds="http://schemas.openxmlformats.org/officeDocument/2006/customXml" ds:itemID="{EEF6A982-2B92-44EA-9A4B-E900749867A8}">
  <ds:schemaRefs/>
</ds:datastoreItem>
</file>

<file path=customXml/itemProps13.xml><?xml version="1.0" encoding="utf-8"?>
<ds:datastoreItem xmlns:ds="http://schemas.openxmlformats.org/officeDocument/2006/customXml" ds:itemID="{48908BEB-36C8-47B1-8FC2-226A78FA8120}">
  <ds:schemaRefs/>
</ds:datastoreItem>
</file>

<file path=customXml/itemProps14.xml><?xml version="1.0" encoding="utf-8"?>
<ds:datastoreItem xmlns:ds="http://schemas.openxmlformats.org/officeDocument/2006/customXml" ds:itemID="{E691D7AC-B6DF-46AE-B0EF-D4A24C828D8D}">
  <ds:schemaRefs/>
</ds:datastoreItem>
</file>

<file path=customXml/itemProps15.xml><?xml version="1.0" encoding="utf-8"?>
<ds:datastoreItem xmlns:ds="http://schemas.openxmlformats.org/officeDocument/2006/customXml" ds:itemID="{9E2C2344-C52B-4410-BAD3-6A20E7C41707}">
  <ds:schemaRefs/>
</ds:datastoreItem>
</file>

<file path=customXml/itemProps16.xml><?xml version="1.0" encoding="utf-8"?>
<ds:datastoreItem xmlns:ds="http://schemas.openxmlformats.org/officeDocument/2006/customXml" ds:itemID="{E2BDCE9A-4C95-487A-B7A2-B05DEB105CCC}">
  <ds:schemaRefs/>
</ds:datastoreItem>
</file>

<file path=customXml/itemProps17.xml><?xml version="1.0" encoding="utf-8"?>
<ds:datastoreItem xmlns:ds="http://schemas.openxmlformats.org/officeDocument/2006/customXml" ds:itemID="{F0578CB2-47D7-4B97-B800-E6E0866C92C0}">
  <ds:schemaRefs/>
</ds:datastoreItem>
</file>

<file path=customXml/itemProps18.xml><?xml version="1.0" encoding="utf-8"?>
<ds:datastoreItem xmlns:ds="http://schemas.openxmlformats.org/officeDocument/2006/customXml" ds:itemID="{FB2B8399-80D2-4FE3-B0F1-CCDEB75EA6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pivotreport</vt:lpstr>
      <vt:lpstr>dashboard</vt:lpstr>
      <vt:lpstr>dailayvisit</vt:lpstr>
      <vt:lpstr>averagewaittime</vt:lpstr>
      <vt:lpstr>satisfactionrate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sharma</dc:creator>
  <cp:lastModifiedBy>Anand Sharma</cp:lastModifiedBy>
  <dcterms:created xsi:type="dcterms:W3CDTF">2026-01-24T09:21:37Z</dcterms:created>
  <dcterms:modified xsi:type="dcterms:W3CDTF">2026-03-12T17:39:09Z</dcterms:modified>
</cp:coreProperties>
</file>